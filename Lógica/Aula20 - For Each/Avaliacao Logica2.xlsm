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"/>
    </mc:Choice>
  </mc:AlternateContent>
  <xr:revisionPtr revIDLastSave="0" documentId="13_ncr:1_{9A7D6198-852C-479F-9048-22B5B8BADBFB}" xr6:coauthVersionLast="47" xr6:coauthVersionMax="47" xr10:uidLastSave="{00000000-0000-0000-0000-000000000000}"/>
  <bookViews>
    <workbookView xWindow="-120" yWindow="-120" windowWidth="21840" windowHeight="13290" firstSheet="2" activeTab="8" xr2:uid="{915FA80B-62C9-404A-B722-E371AFBFF82F}"/>
  </bookViews>
  <sheets>
    <sheet name="Atividade01" sheetId="6" r:id="rId1"/>
    <sheet name="Atividade02" sheetId="7" r:id="rId2"/>
    <sheet name="Atividade05" sheetId="8" r:id="rId3"/>
    <sheet name="Atividade11" sheetId="9" r:id="rId4"/>
    <sheet name="While" sheetId="1" r:id="rId5"/>
    <sheet name="FOR" sheetId="2" r:id="rId6"/>
    <sheet name="For Each" sheetId="3" r:id="rId7"/>
    <sheet name="Atividade-15" sheetId="4" r:id="rId8"/>
    <sheet name="Atividade-17" sheetId="10" r:id="rId9"/>
    <sheet name="Atividade-18" sheetId="5" r:id="rId10"/>
  </sheets>
  <definedNames>
    <definedName name="_xlnm._FilterDatabase" localSheetId="9" hidden="1">'Atividade-18'!$A$1:$C$229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0" l="1"/>
  <c r="C5" i="8"/>
  <c r="C2" i="8"/>
  <c r="C3" i="8"/>
  <c r="C4" i="8"/>
  <c r="C1" i="8"/>
  <c r="B10" i="7"/>
  <c r="B9" i="7"/>
  <c r="B8" i="7"/>
  <c r="B7" i="7"/>
  <c r="B6" i="7"/>
  <c r="B5" i="7"/>
  <c r="B4" i="7"/>
  <c r="B3" i="7"/>
  <c r="B2" i="7"/>
  <c r="B1" i="7"/>
</calcChain>
</file>

<file path=xl/sharedStrings.xml><?xml version="1.0" encoding="utf-8"?>
<sst xmlns="http://schemas.openxmlformats.org/spreadsheetml/2006/main" count="78" uniqueCount="76">
  <si>
    <t>Idade</t>
  </si>
  <si>
    <t>Aeronauta Barata</t>
  </si>
  <si>
    <t>Agrícola Beterraba Areia</t>
  </si>
  <si>
    <t>Agrícola da Terra Fonseca</t>
  </si>
  <si>
    <t>Alce Barbuda</t>
  </si>
  <si>
    <t>Amado Amoroso</t>
  </si>
  <si>
    <t>Amazonas Rio do Brasil Pimpão</t>
  </si>
  <si>
    <t>América do Sul Brasil de Santana</t>
  </si>
  <si>
    <t>Amin Amou Amado</t>
  </si>
  <si>
    <t>Antonio Manso Pacífico de Oliveira Sossegado</t>
  </si>
  <si>
    <t>Antônio Morrendo das Dores</t>
  </si>
  <si>
    <t>Aricléia Café Chá</t>
  </si>
  <si>
    <t>Ava Gina</t>
  </si>
  <si>
    <t>Asteróide Silverio</t>
  </si>
  <si>
    <t>Bandeirante do Brasil Paulistano</t>
  </si>
  <si>
    <t>Barrigudinha Seleida</t>
  </si>
  <si>
    <t>Bispo de Paris</t>
  </si>
  <si>
    <t>Bizarro Assada</t>
  </si>
  <si>
    <t>Céu Azul do Sol Poente</t>
  </si>
  <si>
    <t>Chevrolet da Silva Ford</t>
  </si>
  <si>
    <t>Colápso Cardíaco da Silva</t>
  </si>
  <si>
    <t>Disney Chaplin Milhomem da Silva</t>
  </si>
  <si>
    <t>Dezêncio Feverêncio de Oitenta e Cinco</t>
  </si>
  <si>
    <t>Dolores Fuertes de Barriga</t>
  </si>
  <si>
    <t>Esparadrapo Clemente de Sá</t>
  </si>
  <si>
    <t>Homem Bom da Cunha Souto Maior</t>
  </si>
  <si>
    <t>Ilegível Inilegível</t>
  </si>
  <si>
    <t>Inocêncio Coitadinho</t>
  </si>
  <si>
    <t>Janeiro Fevereiro de Março Abril</t>
  </si>
  <si>
    <t>Lança Perfume Rodometálico de Andrade</t>
  </si>
  <si>
    <t>Marciano Verdinho das Antenas Longas</t>
  </si>
  <si>
    <t>Maria Privada de Jesus</t>
  </si>
  <si>
    <t>Maria Tributina Prostituta Cataerva</t>
  </si>
  <si>
    <t>Maria-você-me-mata</t>
  </si>
  <si>
    <t>Mimaré Índio Brazileiro de Campos</t>
  </si>
  <si>
    <t>Napoleão Sem Medo e Sem Mácula</t>
  </si>
  <si>
    <t>Natal Carnaval</t>
  </si>
  <si>
    <t>Necrotério Pereira da Silva</t>
  </si>
  <si>
    <t>Oceâno Atlântico Linhares</t>
  </si>
  <si>
    <t>Otávio Bundasseca</t>
  </si>
  <si>
    <t>Pacífico Armando Guerra</t>
  </si>
  <si>
    <t>Padre Filho do Espírito Santo Amém</t>
  </si>
  <si>
    <t>Plácido e Seus Companheiros</t>
  </si>
  <si>
    <t>Remédio Amargo</t>
  </si>
  <si>
    <t>Renato Pordeus Furtado</t>
  </si>
  <si>
    <t>Restos Mortais de Catarina</t>
  </si>
  <si>
    <t>Rocambole Simionato</t>
  </si>
  <si>
    <t>Universo Cândido</t>
  </si>
  <si>
    <t>Vicente Mais ou  Menos de Souza</t>
  </si>
  <si>
    <t>Nome (Nomes foram pegos da internet)</t>
  </si>
  <si>
    <t>Tabela A</t>
  </si>
  <si>
    <t>Tabela B</t>
  </si>
  <si>
    <t>Código de Lançamento Realizado</t>
  </si>
  <si>
    <t>Códigos de Lançamento Previsto</t>
  </si>
  <si>
    <t>Qtde Encontrada</t>
  </si>
  <si>
    <t>Código</t>
  </si>
  <si>
    <t>Valor</t>
  </si>
  <si>
    <t>Data</t>
  </si>
  <si>
    <t>1 - Escreva um algoritmo que armazene o valor 10 em uma variável X e o valor 20 em uma variável Y.
A seguir troque os seus conteúdos fazendo com que o valor que está em X passe para Y e vice-versa. Ao final, imprima os valores das variáveis X e Y nessa ordem.</t>
  </si>
  <si>
    <t>X</t>
  </si>
  <si>
    <t>Y</t>
  </si>
  <si>
    <t>A) 6*(3+2)</t>
  </si>
  <si>
    <t>B) 2+(6*(3+2))</t>
  </si>
  <si>
    <t>C) 2+(3*6)/(2+4)</t>
  </si>
  <si>
    <t>D)2*(8/(3+1))</t>
  </si>
  <si>
    <t>E) 3+(16-2)/(2*(9-2))</t>
  </si>
  <si>
    <t>F) (6/3)+(8/2)</t>
  </si>
  <si>
    <t>G) ((3+(8/2))*4)+(3*2)</t>
  </si>
  <si>
    <t>H) (6*(3*3)+6)-10</t>
  </si>
  <si>
    <t>I) (((10*8)+3)*9)</t>
  </si>
  <si>
    <t>J) ((-12)*(-4))+(3*(-4))</t>
  </si>
  <si>
    <t>Nome</t>
  </si>
  <si>
    <t>Gênero</t>
  </si>
  <si>
    <t>Salário</t>
  </si>
  <si>
    <t>Classe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</si>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</sst>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D9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0" fillId="0" borderId="0" xfId="0" applyNumberFormat="1"/>
    <xf numFmtId="44" fontId="0" fillId="0" borderId="0" xfId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indent="5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left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" fillId="18" borderId="0" xfId="0" applyFont="1" applyFill="1"/>
    <xf numFmtId="0" fontId="2" fillId="19" borderId="0" xfId="0" applyFont="1" applyFill="1"/>
    <xf numFmtId="0" fontId="2" fillId="20" borderId="0" xfId="0" applyFont="1" applyFill="1"/>
    <xf numFmtId="0" fontId="2" fillId="21" borderId="0" xfId="0" applyFont="1" applyFill="1"/>
    <xf numFmtId="0" fontId="2" fillId="22" borderId="0" xfId="0" applyFont="1" applyFill="1"/>
    <xf numFmtId="0" fontId="2" fillId="23" borderId="0" xfId="0" applyFont="1" applyFill="1"/>
    <xf numFmtId="0" fontId="2" fillId="24" borderId="0" xfId="0" applyFont="1" applyFill="1"/>
    <xf numFmtId="0" fontId="2" fillId="25" borderId="0" xfId="0" applyFont="1" applyFill="1"/>
    <xf numFmtId="0" fontId="2" fillId="26" borderId="0" xfId="0" applyFont="1" applyFill="1"/>
    <xf numFmtId="0" fontId="2" fillId="27" borderId="0" xfId="0" applyFont="1" applyFill="1"/>
    <xf numFmtId="20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5</xdr:row>
          <xdr:rowOff>95250</xdr:rowOff>
        </xdr:from>
        <xdr:to>
          <xdr:col>5</xdr:col>
          <xdr:colOff>447675</xdr:colOff>
          <xdr:row>7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420413</xdr:colOff>
      <xdr:row>0</xdr:row>
      <xdr:rowOff>72260</xdr:rowOff>
    </xdr:from>
    <xdr:to>
      <xdr:col>8</xdr:col>
      <xdr:colOff>518948</xdr:colOff>
      <xdr:row>6</xdr:row>
      <xdr:rowOff>72260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EC3C66B-4339-464B-EA08-95C5076F49E6}"/>
            </a:ext>
          </a:extLst>
        </xdr:cNvPr>
        <xdr:cNvSpPr/>
      </xdr:nvSpPr>
      <xdr:spPr>
        <a:xfrm>
          <a:off x="3869120" y="72260"/>
          <a:ext cx="3764018" cy="11430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Imprimir</a:t>
          </a:r>
          <a:r>
            <a:rPr lang="pt-BR" sz="1100" baseline="0"/>
            <a:t> uma msgbox a qtde de pessoas que são menores e a qtde de pessoas que são maiores de idade</a:t>
          </a:r>
        </a:p>
        <a:p>
          <a:pPr algn="l"/>
          <a:endParaRPr lang="pt-BR" sz="1100" baseline="0"/>
        </a:p>
        <a:p>
          <a:pPr algn="l"/>
          <a:r>
            <a:rPr lang="pt-BR" sz="1100" baseline="0"/>
            <a:t>As pessoas que forem menores de idade, pinte seu nome de amarelo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1</xdr:row>
      <xdr:rowOff>28575</xdr:rowOff>
    </xdr:from>
    <xdr:to>
      <xdr:col>12</xdr:col>
      <xdr:colOff>478970</xdr:colOff>
      <xdr:row>5</xdr:row>
      <xdr:rowOff>95250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97B453B-82D6-44C0-9CF3-DD3DAC55401E}"/>
            </a:ext>
          </a:extLst>
        </xdr:cNvPr>
        <xdr:cNvSpPr/>
      </xdr:nvSpPr>
      <xdr:spPr>
        <a:xfrm>
          <a:off x="4114799" y="219075"/>
          <a:ext cx="3679371" cy="82867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Criar um sistema que crie</a:t>
          </a:r>
          <a:r>
            <a:rPr lang="pt-BR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tabuada de 1 a 10 de um valor informado pelo usuário.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200025</xdr:colOff>
      <xdr:row>1</xdr:row>
      <xdr:rowOff>95249</xdr:rowOff>
    </xdr:from>
    <xdr:to>
      <xdr:col>19</xdr:col>
      <xdr:colOff>28575</xdr:colOff>
      <xdr:row>10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7B3C800-8248-4AB4-B699-D06E8953588E}"/>
            </a:ext>
          </a:extLst>
        </xdr:cNvPr>
        <xdr:cNvSpPr/>
      </xdr:nvSpPr>
      <xdr:spPr>
        <a:xfrm>
          <a:off x="9344025" y="285749"/>
          <a:ext cx="2266950" cy="1619251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&gt;=400</a:t>
          </a:r>
          <a:r>
            <a:rPr lang="pt-BR"/>
            <a:t> 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AZUL</a:t>
          </a:r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&lt;=200</a:t>
          </a:r>
          <a:r>
            <a:rPr lang="pt-BR"/>
            <a:t> </a:t>
          </a:r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Vermelho</a:t>
          </a:r>
        </a:p>
        <a:p>
          <a:pPr algn="l"/>
          <a:endParaRPr lang="pt-BR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&lt;=200</a:t>
          </a:r>
          <a:endParaRPr lang="pt-BR"/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entre 200 a 400</a:t>
          </a:r>
          <a:endParaRPr lang="pt-BR"/>
        </a:p>
        <a:p>
          <a:pPr algn="l"/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Qtde &gt;=400</a:t>
          </a:r>
          <a:r>
            <a:rPr lang="pt-BR"/>
            <a:t> </a:t>
          </a:r>
        </a:p>
        <a:p>
          <a:pPr algn="l"/>
          <a:endParaRPr lang="pt-BR" sz="1100"/>
        </a:p>
        <a:p>
          <a:pPr algn="l"/>
          <a:r>
            <a:rPr lang="pt-BR" sz="1100"/>
            <a:t>Ctrl</a:t>
          </a:r>
          <a:r>
            <a:rPr lang="pt-BR" sz="1100" baseline="0"/>
            <a:t> + Shift + A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505239</xdr:colOff>
      <xdr:row>1</xdr:row>
      <xdr:rowOff>8282</xdr:rowOff>
    </xdr:from>
    <xdr:to>
      <xdr:col>11</xdr:col>
      <xdr:colOff>232948</xdr:colOff>
      <xdr:row>11</xdr:row>
      <xdr:rowOff>32095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3568B62E-57FB-451E-9966-F418CAF9E552}"/>
            </a:ext>
          </a:extLst>
        </xdr:cNvPr>
        <xdr:cNvSpPr/>
      </xdr:nvSpPr>
      <xdr:spPr>
        <a:xfrm>
          <a:off x="6858000" y="198782"/>
          <a:ext cx="3405187" cy="192881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 – Entre duas tabelas, crie uma estrutura de repetição que encontre os valores da tabela A na tabela B e pinte-os de cores diferentes, Planilha Atividade-15</a:t>
          </a:r>
        </a:p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</xdr:row>
          <xdr:rowOff>47625</xdr:rowOff>
        </xdr:from>
        <xdr:to>
          <xdr:col>8</xdr:col>
          <xdr:colOff>561975</xdr:colOff>
          <xdr:row>3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0</xdr:row>
      <xdr:rowOff>160734</xdr:rowOff>
    </xdr:from>
    <xdr:to>
      <xdr:col>9</xdr:col>
      <xdr:colOff>101203</xdr:colOff>
      <xdr:row>10</xdr:row>
      <xdr:rowOff>184547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E048139-631A-850D-483F-89B61049925F}"/>
            </a:ext>
          </a:extLst>
        </xdr:cNvPr>
        <xdr:cNvSpPr/>
      </xdr:nvSpPr>
      <xdr:spPr>
        <a:xfrm>
          <a:off x="3113485" y="160734"/>
          <a:ext cx="3405187" cy="1928813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18 – Crie um sistema que preencha 0 em todos os valores que foram iguais a vazio (na coluna valores) e coloque a data de hoje para todos os valores que forem igual a vazio (na coluna data) dentro da tabela corrente. Planilha Atividade-18</a:t>
          </a:r>
        </a:p>
        <a:p>
          <a:pPr algn="l"/>
          <a:endParaRPr lang="pt-BR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C745B-CA52-4A64-8B72-E45B1E98E283}">
  <sheetPr codeName="Planilha2"/>
  <dimension ref="A1:I8"/>
  <sheetViews>
    <sheetView zoomScale="220" zoomScaleNormal="220" workbookViewId="0">
      <selection activeCell="D10" sqref="D10"/>
    </sheetView>
  </sheetViews>
  <sheetFormatPr defaultRowHeight="15" x14ac:dyDescent="0.25"/>
  <cols>
    <col min="2" max="2" width="5.42578125" customWidth="1"/>
    <col min="9" max="9" width="9" customWidth="1"/>
  </cols>
  <sheetData>
    <row r="1" spans="1:9" x14ac:dyDescent="0.25">
      <c r="A1" s="7" t="s">
        <v>58</v>
      </c>
      <c r="B1" s="6"/>
      <c r="C1" s="6"/>
      <c r="D1" s="6"/>
      <c r="E1" s="6"/>
      <c r="F1" s="6"/>
      <c r="G1" s="6"/>
      <c r="H1" s="6"/>
      <c r="I1" s="6"/>
    </row>
    <row r="2" spans="1:9" x14ac:dyDescent="0.25">
      <c r="A2" s="6"/>
      <c r="B2" s="6"/>
      <c r="C2" s="6"/>
      <c r="D2" s="6"/>
      <c r="E2" s="6"/>
      <c r="F2" s="6"/>
      <c r="G2" s="6"/>
      <c r="H2" s="6"/>
      <c r="I2" s="6"/>
    </row>
    <row r="3" spans="1:9" x14ac:dyDescent="0.25">
      <c r="A3" s="6"/>
      <c r="B3" s="6"/>
      <c r="C3" s="6"/>
      <c r="D3" s="6"/>
      <c r="E3" s="6"/>
      <c r="F3" s="6"/>
      <c r="G3" s="6"/>
      <c r="H3" s="6"/>
      <c r="I3" s="6"/>
    </row>
    <row r="4" spans="1:9" x14ac:dyDescent="0.25">
      <c r="A4" s="6"/>
      <c r="B4" s="6"/>
      <c r="C4" s="6"/>
      <c r="D4" s="6"/>
      <c r="E4" s="6"/>
      <c r="F4" s="6"/>
      <c r="G4" s="6"/>
      <c r="H4" s="6"/>
      <c r="I4" s="6"/>
    </row>
    <row r="5" spans="1:9" x14ac:dyDescent="0.25">
      <c r="A5" s="6"/>
      <c r="B5" s="6"/>
      <c r="C5" s="6"/>
      <c r="D5" s="6"/>
      <c r="E5" s="6"/>
      <c r="F5" s="6"/>
      <c r="G5" s="6"/>
      <c r="H5" s="6"/>
      <c r="I5" s="6"/>
    </row>
    <row r="7" spans="1:9" x14ac:dyDescent="0.25">
      <c r="A7" t="s">
        <v>59</v>
      </c>
      <c r="B7">
        <v>10</v>
      </c>
    </row>
    <row r="8" spans="1:9" x14ac:dyDescent="0.25">
      <c r="A8" t="s">
        <v>60</v>
      </c>
      <c r="B8">
        <v>20</v>
      </c>
    </row>
  </sheetData>
  <mergeCells count="1">
    <mergeCell ref="A1:I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tividade01">
                <anchor moveWithCells="1" sizeWithCells="1">
                  <from>
                    <xdr:col>4</xdr:col>
                    <xdr:colOff>114300</xdr:colOff>
                    <xdr:row>5</xdr:row>
                    <xdr:rowOff>95250</xdr:rowOff>
                  </from>
                  <to>
                    <xdr:col>5</xdr:col>
                    <xdr:colOff>447675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96948-57DD-4E9A-86E2-1E21A2C033A7}">
  <sheetPr codeName="Planilha7"/>
  <dimension ref="A1:B10"/>
  <sheetViews>
    <sheetView zoomScale="220" zoomScaleNormal="220" workbookViewId="0">
      <selection activeCell="E6" sqref="E6"/>
    </sheetView>
  </sheetViews>
  <sheetFormatPr defaultRowHeight="15" x14ac:dyDescent="0.25"/>
  <cols>
    <col min="1" max="1" width="27.140625" bestFit="1" customWidth="1"/>
    <col min="2" max="2" width="10.42578125" bestFit="1" customWidth="1"/>
  </cols>
  <sheetData>
    <row r="1" spans="1:2" x14ac:dyDescent="0.25">
      <c r="A1" s="8" t="s">
        <v>61</v>
      </c>
      <c r="B1" s="8">
        <f>6*(3+2)</f>
        <v>30</v>
      </c>
    </row>
    <row r="2" spans="1:2" x14ac:dyDescent="0.25">
      <c r="A2" s="8" t="s">
        <v>62</v>
      </c>
      <c r="B2" s="8">
        <f>2+(6*(3+2))</f>
        <v>32</v>
      </c>
    </row>
    <row r="3" spans="1:2" x14ac:dyDescent="0.25">
      <c r="A3" s="8" t="s">
        <v>63</v>
      </c>
      <c r="B3" s="8">
        <f>2+(3*6)/(2+4)</f>
        <v>5</v>
      </c>
    </row>
    <row r="4" spans="1:2" x14ac:dyDescent="0.25">
      <c r="A4" s="8" t="s">
        <v>64</v>
      </c>
      <c r="B4" s="8">
        <f>2*(8/(3+1))</f>
        <v>4</v>
      </c>
    </row>
    <row r="5" spans="1:2" x14ac:dyDescent="0.25">
      <c r="A5" s="8" t="s">
        <v>65</v>
      </c>
      <c r="B5" s="8">
        <f>3+(16-2)/(2*(9-2))</f>
        <v>4</v>
      </c>
    </row>
    <row r="6" spans="1:2" x14ac:dyDescent="0.25">
      <c r="A6" s="8" t="s">
        <v>66</v>
      </c>
      <c r="B6" s="8">
        <f>(6/3)+(8/2)</f>
        <v>6</v>
      </c>
    </row>
    <row r="7" spans="1:2" x14ac:dyDescent="0.25">
      <c r="A7" s="8" t="s">
        <v>67</v>
      </c>
      <c r="B7" s="8">
        <f>((3+(8/2))*4)+(3*2)</f>
        <v>34</v>
      </c>
    </row>
    <row r="8" spans="1:2" x14ac:dyDescent="0.25">
      <c r="A8" s="8" t="s">
        <v>68</v>
      </c>
      <c r="B8" s="8">
        <f xml:space="preserve"> (6*(3*3)+6)-10</f>
        <v>50</v>
      </c>
    </row>
    <row r="9" spans="1:2" x14ac:dyDescent="0.25">
      <c r="A9" s="8" t="s">
        <v>69</v>
      </c>
      <c r="B9" s="8">
        <f>(((10*8)+3)*9)</f>
        <v>747</v>
      </c>
    </row>
    <row r="10" spans="1:2" x14ac:dyDescent="0.25">
      <c r="A10" s="8" t="s">
        <v>70</v>
      </c>
      <c r="B10" s="8">
        <f>((-12)*(-4))+(3*(-4))</f>
        <v>36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A317-A500-43E5-8382-64A72A64F785}">
  <sheetPr codeName="Planilha8"/>
  <dimension ref="A1:C5"/>
  <sheetViews>
    <sheetView zoomScale="400" zoomScaleNormal="400" workbookViewId="0">
      <selection activeCell="B1" sqref="B1:B4"/>
    </sheetView>
  </sheetViews>
  <sheetFormatPr defaultRowHeight="15" x14ac:dyDescent="0.25"/>
  <sheetData>
    <row r="1" spans="1:3" x14ac:dyDescent="0.25">
      <c r="A1">
        <v>9</v>
      </c>
      <c r="B1">
        <v>2</v>
      </c>
      <c r="C1">
        <f>A1*B1</f>
        <v>18</v>
      </c>
    </row>
    <row r="2" spans="1:3" x14ac:dyDescent="0.25">
      <c r="A2">
        <v>8</v>
      </c>
      <c r="B2">
        <v>3</v>
      </c>
      <c r="C2">
        <f t="shared" ref="C2:C4" si="0">A2*B2</f>
        <v>24</v>
      </c>
    </row>
    <row r="3" spans="1:3" x14ac:dyDescent="0.25">
      <c r="A3">
        <v>9</v>
      </c>
      <c r="B3">
        <v>2</v>
      </c>
      <c r="C3">
        <f t="shared" si="0"/>
        <v>18</v>
      </c>
    </row>
    <row r="4" spans="1:3" x14ac:dyDescent="0.25">
      <c r="A4">
        <v>6</v>
      </c>
      <c r="B4">
        <v>3</v>
      </c>
      <c r="C4">
        <f t="shared" si="0"/>
        <v>18</v>
      </c>
    </row>
    <row r="5" spans="1:3" x14ac:dyDescent="0.25">
      <c r="C5">
        <f>SUM(C1:C4)/10</f>
        <v>7.8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535EF-D06F-4E56-B3BF-6B5FBD6086ED}">
  <sheetPr codeName="Planilha9"/>
  <dimension ref="A1:C5"/>
  <sheetViews>
    <sheetView zoomScale="355" zoomScaleNormal="355" workbookViewId="0">
      <selection activeCell="E7" sqref="E7"/>
    </sheetView>
  </sheetViews>
  <sheetFormatPr defaultRowHeight="15" x14ac:dyDescent="0.25"/>
  <sheetData>
    <row r="1" spans="1:3" x14ac:dyDescent="0.25">
      <c r="A1" s="9">
        <v>5</v>
      </c>
      <c r="C1" s="10">
        <v>8</v>
      </c>
    </row>
    <row r="2" spans="1:3" x14ac:dyDescent="0.25">
      <c r="A2" s="9">
        <v>6</v>
      </c>
      <c r="C2">
        <v>9</v>
      </c>
    </row>
    <row r="3" spans="1:3" x14ac:dyDescent="0.25">
      <c r="A3" s="9">
        <v>7</v>
      </c>
      <c r="C3">
        <v>7</v>
      </c>
    </row>
    <row r="4" spans="1:3" x14ac:dyDescent="0.25">
      <c r="A4" s="9">
        <v>8</v>
      </c>
      <c r="C4">
        <v>5</v>
      </c>
    </row>
    <row r="5" spans="1:3" x14ac:dyDescent="0.25">
      <c r="A5" s="9">
        <v>9</v>
      </c>
      <c r="C5">
        <v>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2D2F2-77AF-4ECD-98C0-97648F81F30C}">
  <sheetPr codeName="Planilha1"/>
  <dimension ref="A1:B50"/>
  <sheetViews>
    <sheetView zoomScale="145" zoomScaleNormal="145" workbookViewId="0">
      <selection activeCell="B1" sqref="B1"/>
    </sheetView>
  </sheetViews>
  <sheetFormatPr defaultRowHeight="15" x14ac:dyDescent="0.25"/>
  <cols>
    <col min="1" max="1" width="42.5703125" style="2" bestFit="1" customWidth="1"/>
  </cols>
  <sheetData>
    <row r="1" spans="1:2" x14ac:dyDescent="0.25">
      <c r="A1" s="2" t="s">
        <v>49</v>
      </c>
      <c r="B1" t="s">
        <v>0</v>
      </c>
    </row>
    <row r="2" spans="1:2" x14ac:dyDescent="0.25">
      <c r="A2" s="3" t="s">
        <v>1</v>
      </c>
      <c r="B2">
        <v>34</v>
      </c>
    </row>
    <row r="3" spans="1:2" x14ac:dyDescent="0.25">
      <c r="A3" s="3" t="s">
        <v>2</v>
      </c>
      <c r="B3">
        <v>37</v>
      </c>
    </row>
    <row r="4" spans="1:2" x14ac:dyDescent="0.25">
      <c r="A4" s="11" t="s">
        <v>3</v>
      </c>
      <c r="B4">
        <v>9</v>
      </c>
    </row>
    <row r="5" spans="1:2" x14ac:dyDescent="0.25">
      <c r="A5" s="3" t="s">
        <v>4</v>
      </c>
      <c r="B5">
        <v>28</v>
      </c>
    </row>
    <row r="6" spans="1:2" x14ac:dyDescent="0.25">
      <c r="A6" s="11" t="s">
        <v>5</v>
      </c>
      <c r="B6">
        <v>13</v>
      </c>
    </row>
    <row r="7" spans="1:2" x14ac:dyDescent="0.25">
      <c r="A7" s="3" t="s">
        <v>6</v>
      </c>
      <c r="B7">
        <v>28</v>
      </c>
    </row>
    <row r="8" spans="1:2" x14ac:dyDescent="0.25">
      <c r="A8" s="3" t="s">
        <v>7</v>
      </c>
      <c r="B8">
        <v>22</v>
      </c>
    </row>
    <row r="9" spans="1:2" x14ac:dyDescent="0.25">
      <c r="A9" s="11" t="s">
        <v>8</v>
      </c>
      <c r="B9">
        <v>16</v>
      </c>
    </row>
    <row r="10" spans="1:2" x14ac:dyDescent="0.25">
      <c r="A10" s="3" t="s">
        <v>9</v>
      </c>
      <c r="B10">
        <v>41</v>
      </c>
    </row>
    <row r="11" spans="1:2" x14ac:dyDescent="0.25">
      <c r="A11" s="3" t="s">
        <v>10</v>
      </c>
      <c r="B11">
        <v>31</v>
      </c>
    </row>
    <row r="12" spans="1:2" x14ac:dyDescent="0.25">
      <c r="A12" s="3" t="s">
        <v>11</v>
      </c>
      <c r="B12">
        <v>43</v>
      </c>
    </row>
    <row r="13" spans="1:2" x14ac:dyDescent="0.25">
      <c r="A13" s="11" t="s">
        <v>12</v>
      </c>
      <c r="B13">
        <v>5</v>
      </c>
    </row>
    <row r="14" spans="1:2" x14ac:dyDescent="0.25">
      <c r="A14" s="3" t="s">
        <v>13</v>
      </c>
      <c r="B14">
        <v>39</v>
      </c>
    </row>
    <row r="15" spans="1:2" x14ac:dyDescent="0.25">
      <c r="A15" s="11" t="s">
        <v>14</v>
      </c>
      <c r="B15">
        <v>14</v>
      </c>
    </row>
    <row r="16" spans="1:2" x14ac:dyDescent="0.25">
      <c r="A16" s="3" t="s">
        <v>15</v>
      </c>
      <c r="B16">
        <v>19</v>
      </c>
    </row>
    <row r="17" spans="1:2" x14ac:dyDescent="0.25">
      <c r="A17" s="3" t="s">
        <v>16</v>
      </c>
      <c r="B17">
        <v>32</v>
      </c>
    </row>
    <row r="18" spans="1:2" x14ac:dyDescent="0.25">
      <c r="A18" s="3" t="s">
        <v>17</v>
      </c>
      <c r="B18">
        <v>43</v>
      </c>
    </row>
    <row r="19" spans="1:2" x14ac:dyDescent="0.25">
      <c r="A19" s="3" t="s">
        <v>18</v>
      </c>
      <c r="B19">
        <v>30</v>
      </c>
    </row>
    <row r="20" spans="1:2" x14ac:dyDescent="0.25">
      <c r="A20" s="3" t="s">
        <v>19</v>
      </c>
      <c r="B20">
        <v>49</v>
      </c>
    </row>
    <row r="21" spans="1:2" x14ac:dyDescent="0.25">
      <c r="A21" s="3" t="s">
        <v>20</v>
      </c>
      <c r="B21">
        <v>19</v>
      </c>
    </row>
    <row r="22" spans="1:2" x14ac:dyDescent="0.25">
      <c r="A22" s="3" t="s">
        <v>21</v>
      </c>
      <c r="B22">
        <v>47</v>
      </c>
    </row>
    <row r="23" spans="1:2" x14ac:dyDescent="0.25">
      <c r="A23" s="3" t="s">
        <v>22</v>
      </c>
      <c r="B23">
        <v>27</v>
      </c>
    </row>
    <row r="24" spans="1:2" x14ac:dyDescent="0.25">
      <c r="A24" s="3" t="s">
        <v>23</v>
      </c>
      <c r="B24">
        <v>23</v>
      </c>
    </row>
    <row r="25" spans="1:2" x14ac:dyDescent="0.25">
      <c r="A25" s="3" t="s">
        <v>24</v>
      </c>
      <c r="B25">
        <v>50</v>
      </c>
    </row>
    <row r="26" spans="1:2" x14ac:dyDescent="0.25">
      <c r="A26" s="3" t="s">
        <v>25</v>
      </c>
      <c r="B26">
        <v>29</v>
      </c>
    </row>
    <row r="27" spans="1:2" x14ac:dyDescent="0.25">
      <c r="A27" s="3" t="s">
        <v>26</v>
      </c>
      <c r="B27">
        <v>32</v>
      </c>
    </row>
    <row r="28" spans="1:2" x14ac:dyDescent="0.25">
      <c r="A28" s="3" t="s">
        <v>27</v>
      </c>
      <c r="B28">
        <v>48</v>
      </c>
    </row>
    <row r="29" spans="1:2" x14ac:dyDescent="0.25">
      <c r="A29" s="11" t="s">
        <v>28</v>
      </c>
      <c r="B29">
        <v>8</v>
      </c>
    </row>
    <row r="30" spans="1:2" x14ac:dyDescent="0.25">
      <c r="A30" s="3" t="s">
        <v>29</v>
      </c>
      <c r="B30">
        <v>35</v>
      </c>
    </row>
    <row r="31" spans="1:2" x14ac:dyDescent="0.25">
      <c r="A31" s="3" t="s">
        <v>30</v>
      </c>
      <c r="B31">
        <v>43</v>
      </c>
    </row>
    <row r="32" spans="1:2" x14ac:dyDescent="0.25">
      <c r="A32" s="3" t="s">
        <v>31</v>
      </c>
      <c r="B32">
        <v>41</v>
      </c>
    </row>
    <row r="33" spans="1:2" x14ac:dyDescent="0.25">
      <c r="A33" s="3" t="s">
        <v>32</v>
      </c>
      <c r="B33">
        <v>33</v>
      </c>
    </row>
    <row r="34" spans="1:2" x14ac:dyDescent="0.25">
      <c r="A34" s="3" t="s">
        <v>33</v>
      </c>
      <c r="B34">
        <v>34</v>
      </c>
    </row>
    <row r="35" spans="1:2" x14ac:dyDescent="0.25">
      <c r="A35" s="3" t="s">
        <v>34</v>
      </c>
      <c r="B35">
        <v>46</v>
      </c>
    </row>
    <row r="36" spans="1:2" x14ac:dyDescent="0.25">
      <c r="A36" s="11" t="s">
        <v>35</v>
      </c>
      <c r="B36">
        <v>16</v>
      </c>
    </row>
    <row r="37" spans="1:2" x14ac:dyDescent="0.25">
      <c r="A37" s="11" t="s">
        <v>36</v>
      </c>
      <c r="B37">
        <v>8</v>
      </c>
    </row>
    <row r="38" spans="1:2" x14ac:dyDescent="0.25">
      <c r="A38" s="3" t="s">
        <v>37</v>
      </c>
      <c r="B38">
        <v>26</v>
      </c>
    </row>
    <row r="39" spans="1:2" x14ac:dyDescent="0.25">
      <c r="A39" s="3" t="s">
        <v>38</v>
      </c>
      <c r="B39">
        <v>26</v>
      </c>
    </row>
    <row r="40" spans="1:2" x14ac:dyDescent="0.25">
      <c r="A40" s="11" t="s">
        <v>39</v>
      </c>
      <c r="B40">
        <v>16</v>
      </c>
    </row>
    <row r="41" spans="1:2" x14ac:dyDescent="0.25">
      <c r="A41" s="11" t="s">
        <v>40</v>
      </c>
      <c r="B41">
        <v>5</v>
      </c>
    </row>
    <row r="42" spans="1:2" x14ac:dyDescent="0.25">
      <c r="A42" s="3" t="s">
        <v>41</v>
      </c>
      <c r="B42">
        <v>35</v>
      </c>
    </row>
    <row r="43" spans="1:2" x14ac:dyDescent="0.25">
      <c r="A43" s="11" t="s">
        <v>42</v>
      </c>
      <c r="B43">
        <v>6</v>
      </c>
    </row>
    <row r="44" spans="1:2" x14ac:dyDescent="0.25">
      <c r="A44" s="3" t="s">
        <v>43</v>
      </c>
      <c r="B44">
        <v>24</v>
      </c>
    </row>
    <row r="45" spans="1:2" x14ac:dyDescent="0.25">
      <c r="A45" s="3" t="s">
        <v>44</v>
      </c>
      <c r="B45">
        <v>31</v>
      </c>
    </row>
    <row r="46" spans="1:2" x14ac:dyDescent="0.25">
      <c r="A46" s="11" t="s">
        <v>45</v>
      </c>
      <c r="B46">
        <v>6</v>
      </c>
    </row>
    <row r="47" spans="1:2" x14ac:dyDescent="0.25">
      <c r="A47" s="3" t="s">
        <v>46</v>
      </c>
      <c r="B47">
        <v>20</v>
      </c>
    </row>
    <row r="48" spans="1:2" x14ac:dyDescent="0.25">
      <c r="A48" s="3" t="s">
        <v>47</v>
      </c>
      <c r="B48">
        <v>24</v>
      </c>
    </row>
    <row r="49" spans="1:2" x14ac:dyDescent="0.25">
      <c r="A49" s="3" t="s">
        <v>48</v>
      </c>
      <c r="B49">
        <v>49</v>
      </c>
    </row>
    <row r="50" spans="1:2" x14ac:dyDescent="0.25">
      <c r="A5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17B9E-8256-4FFA-B472-AAD09E65FD1C}">
  <sheetPr codeName="Planilha3"/>
  <dimension ref="A1"/>
  <sheetViews>
    <sheetView zoomScale="145" zoomScaleNormal="145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11C4-6987-4DE4-B1A3-469E7ED7A02D}">
  <sheetPr codeName="Planilha4"/>
  <dimension ref="A1:N66"/>
  <sheetViews>
    <sheetView workbookViewId="0">
      <selection activeCell="B30" sqref="B30"/>
    </sheetView>
  </sheetViews>
  <sheetFormatPr defaultRowHeight="15" x14ac:dyDescent="0.25"/>
  <sheetData>
    <row r="1" spans="1:14" x14ac:dyDescent="0.25">
      <c r="A1">
        <v>240</v>
      </c>
      <c r="B1">
        <v>395</v>
      </c>
    </row>
    <row r="2" spans="1:14" x14ac:dyDescent="0.25">
      <c r="A2">
        <v>303</v>
      </c>
      <c r="B2">
        <v>346</v>
      </c>
      <c r="L2">
        <v>341</v>
      </c>
      <c r="M2">
        <v>252</v>
      </c>
      <c r="N2">
        <v>231</v>
      </c>
    </row>
    <row r="3" spans="1:14" x14ac:dyDescent="0.25">
      <c r="A3">
        <v>400</v>
      </c>
      <c r="B3">
        <v>119</v>
      </c>
      <c r="L3">
        <v>440</v>
      </c>
      <c r="M3">
        <v>150</v>
      </c>
      <c r="N3">
        <v>370</v>
      </c>
    </row>
    <row r="4" spans="1:14" x14ac:dyDescent="0.25">
      <c r="A4">
        <v>485</v>
      </c>
      <c r="B4">
        <v>121</v>
      </c>
      <c r="L4">
        <v>217</v>
      </c>
      <c r="M4">
        <v>217</v>
      </c>
      <c r="N4">
        <v>195</v>
      </c>
    </row>
    <row r="5" spans="1:14" x14ac:dyDescent="0.25">
      <c r="A5">
        <v>369</v>
      </c>
      <c r="B5">
        <v>108</v>
      </c>
      <c r="L5">
        <v>362</v>
      </c>
      <c r="M5">
        <v>416</v>
      </c>
      <c r="N5">
        <v>187</v>
      </c>
    </row>
    <row r="6" spans="1:14" x14ac:dyDescent="0.25">
      <c r="A6">
        <v>486</v>
      </c>
      <c r="B6">
        <v>178</v>
      </c>
      <c r="E6">
        <v>363</v>
      </c>
      <c r="F6">
        <v>473</v>
      </c>
      <c r="G6">
        <v>318</v>
      </c>
      <c r="H6">
        <v>286</v>
      </c>
      <c r="I6">
        <v>279</v>
      </c>
      <c r="L6">
        <v>199</v>
      </c>
      <c r="M6">
        <v>432</v>
      </c>
      <c r="N6">
        <v>424</v>
      </c>
    </row>
    <row r="7" spans="1:14" x14ac:dyDescent="0.25">
      <c r="A7">
        <v>474</v>
      </c>
      <c r="B7">
        <v>345</v>
      </c>
      <c r="E7">
        <v>464</v>
      </c>
      <c r="F7">
        <v>367</v>
      </c>
      <c r="G7">
        <v>295</v>
      </c>
      <c r="H7">
        <v>203</v>
      </c>
      <c r="I7">
        <v>476</v>
      </c>
      <c r="L7">
        <v>166</v>
      </c>
      <c r="M7">
        <v>327</v>
      </c>
      <c r="N7">
        <v>251</v>
      </c>
    </row>
    <row r="8" spans="1:14" x14ac:dyDescent="0.25">
      <c r="A8">
        <v>478</v>
      </c>
      <c r="B8">
        <v>367</v>
      </c>
      <c r="E8">
        <v>478</v>
      </c>
      <c r="F8">
        <v>390</v>
      </c>
      <c r="G8">
        <v>410</v>
      </c>
      <c r="H8">
        <v>440</v>
      </c>
      <c r="I8">
        <v>275</v>
      </c>
      <c r="L8">
        <v>175</v>
      </c>
      <c r="M8">
        <v>234</v>
      </c>
      <c r="N8">
        <v>226</v>
      </c>
    </row>
    <row r="9" spans="1:14" x14ac:dyDescent="0.25">
      <c r="A9">
        <v>273</v>
      </c>
      <c r="B9">
        <v>204</v>
      </c>
      <c r="E9">
        <v>290</v>
      </c>
      <c r="F9">
        <v>124</v>
      </c>
      <c r="G9">
        <v>465</v>
      </c>
      <c r="H9">
        <v>175</v>
      </c>
      <c r="I9">
        <v>148</v>
      </c>
    </row>
    <row r="10" spans="1:14" x14ac:dyDescent="0.25">
      <c r="A10">
        <v>395</v>
      </c>
      <c r="B10">
        <v>483</v>
      </c>
      <c r="E10">
        <v>259</v>
      </c>
      <c r="F10">
        <v>293</v>
      </c>
      <c r="G10">
        <v>233</v>
      </c>
      <c r="H10">
        <v>461</v>
      </c>
      <c r="I10">
        <v>472</v>
      </c>
    </row>
    <row r="11" spans="1:14" x14ac:dyDescent="0.25">
      <c r="A11">
        <v>288</v>
      </c>
      <c r="B11">
        <v>413</v>
      </c>
      <c r="E11">
        <v>200</v>
      </c>
      <c r="F11">
        <v>447</v>
      </c>
      <c r="G11">
        <v>140</v>
      </c>
      <c r="H11">
        <v>227</v>
      </c>
      <c r="I11">
        <v>102</v>
      </c>
    </row>
    <row r="12" spans="1:14" x14ac:dyDescent="0.25">
      <c r="A12">
        <v>285</v>
      </c>
      <c r="B12">
        <v>484</v>
      </c>
      <c r="E12">
        <v>268</v>
      </c>
      <c r="F12">
        <v>324</v>
      </c>
      <c r="G12">
        <v>303</v>
      </c>
      <c r="H12">
        <v>248</v>
      </c>
      <c r="I12">
        <v>129</v>
      </c>
    </row>
    <row r="13" spans="1:14" x14ac:dyDescent="0.25">
      <c r="A13">
        <v>153</v>
      </c>
      <c r="B13">
        <v>411</v>
      </c>
      <c r="E13">
        <v>208</v>
      </c>
      <c r="F13">
        <v>111</v>
      </c>
      <c r="G13">
        <v>154</v>
      </c>
      <c r="H13">
        <v>262</v>
      </c>
      <c r="I13">
        <v>435</v>
      </c>
    </row>
    <row r="14" spans="1:14" x14ac:dyDescent="0.25">
      <c r="A14">
        <v>199</v>
      </c>
      <c r="B14">
        <v>450</v>
      </c>
      <c r="E14">
        <v>266</v>
      </c>
      <c r="F14">
        <v>300</v>
      </c>
      <c r="G14">
        <v>130</v>
      </c>
      <c r="H14">
        <v>361</v>
      </c>
      <c r="I14">
        <v>272</v>
      </c>
    </row>
    <row r="15" spans="1:14" x14ac:dyDescent="0.25">
      <c r="A15">
        <v>215</v>
      </c>
      <c r="B15">
        <v>439</v>
      </c>
      <c r="E15">
        <v>145</v>
      </c>
      <c r="F15">
        <v>396</v>
      </c>
      <c r="G15">
        <v>115</v>
      </c>
      <c r="H15">
        <v>276</v>
      </c>
      <c r="I15">
        <v>248</v>
      </c>
    </row>
    <row r="16" spans="1:14" x14ac:dyDescent="0.25">
      <c r="A16">
        <v>482</v>
      </c>
      <c r="B16">
        <v>373</v>
      </c>
      <c r="E16">
        <v>206</v>
      </c>
      <c r="F16">
        <v>105</v>
      </c>
      <c r="G16">
        <v>197</v>
      </c>
      <c r="H16">
        <v>418</v>
      </c>
      <c r="I16">
        <v>184</v>
      </c>
      <c r="K16">
        <v>142</v>
      </c>
      <c r="L16">
        <v>181</v>
      </c>
      <c r="M16">
        <v>355</v>
      </c>
    </row>
    <row r="17" spans="1:13" x14ac:dyDescent="0.25">
      <c r="A17">
        <v>174</v>
      </c>
      <c r="B17">
        <v>356</v>
      </c>
      <c r="E17">
        <v>421</v>
      </c>
      <c r="F17">
        <v>344</v>
      </c>
      <c r="G17">
        <v>213</v>
      </c>
      <c r="H17">
        <v>338</v>
      </c>
      <c r="I17">
        <v>155</v>
      </c>
      <c r="K17">
        <v>269</v>
      </c>
      <c r="L17">
        <v>439</v>
      </c>
      <c r="M17">
        <v>460</v>
      </c>
    </row>
    <row r="18" spans="1:13" x14ac:dyDescent="0.25">
      <c r="A18">
        <v>419</v>
      </c>
      <c r="B18">
        <v>471</v>
      </c>
      <c r="E18">
        <v>275</v>
      </c>
      <c r="F18">
        <v>419</v>
      </c>
      <c r="G18">
        <v>305</v>
      </c>
      <c r="H18">
        <v>333</v>
      </c>
      <c r="I18">
        <v>489</v>
      </c>
      <c r="K18">
        <v>261</v>
      </c>
      <c r="L18">
        <v>418</v>
      </c>
      <c r="M18">
        <v>346</v>
      </c>
    </row>
    <row r="19" spans="1:13" x14ac:dyDescent="0.25">
      <c r="A19">
        <v>468</v>
      </c>
      <c r="B19">
        <v>451</v>
      </c>
      <c r="E19">
        <v>322</v>
      </c>
      <c r="F19">
        <v>177</v>
      </c>
      <c r="G19">
        <v>422</v>
      </c>
      <c r="H19">
        <v>496</v>
      </c>
      <c r="I19">
        <v>242</v>
      </c>
      <c r="K19">
        <v>147</v>
      </c>
      <c r="L19">
        <v>323</v>
      </c>
      <c r="M19">
        <v>370</v>
      </c>
    </row>
    <row r="20" spans="1:13" x14ac:dyDescent="0.25">
      <c r="A20">
        <v>315</v>
      </c>
      <c r="B20">
        <v>246</v>
      </c>
      <c r="E20">
        <v>239</v>
      </c>
      <c r="F20">
        <v>305</v>
      </c>
      <c r="G20">
        <v>473</v>
      </c>
      <c r="H20">
        <v>397</v>
      </c>
      <c r="I20">
        <v>244</v>
      </c>
      <c r="K20">
        <v>489</v>
      </c>
      <c r="L20">
        <v>159</v>
      </c>
      <c r="M20">
        <v>351</v>
      </c>
    </row>
    <row r="21" spans="1:13" x14ac:dyDescent="0.25">
      <c r="A21">
        <v>433</v>
      </c>
      <c r="B21">
        <v>273</v>
      </c>
      <c r="K21">
        <v>360</v>
      </c>
      <c r="L21">
        <v>201</v>
      </c>
      <c r="M21">
        <v>479</v>
      </c>
    </row>
    <row r="22" spans="1:13" x14ac:dyDescent="0.25">
      <c r="A22">
        <v>160</v>
      </c>
      <c r="B22">
        <v>355</v>
      </c>
    </row>
    <row r="23" spans="1:13" x14ac:dyDescent="0.25">
      <c r="A23">
        <v>218</v>
      </c>
      <c r="B23">
        <v>110</v>
      </c>
    </row>
    <row r="24" spans="1:13" x14ac:dyDescent="0.25">
      <c r="A24">
        <v>108</v>
      </c>
      <c r="B24">
        <v>219</v>
      </c>
    </row>
    <row r="25" spans="1:13" x14ac:dyDescent="0.25">
      <c r="A25">
        <v>268</v>
      </c>
      <c r="B25">
        <v>448</v>
      </c>
    </row>
    <row r="26" spans="1:13" x14ac:dyDescent="0.25">
      <c r="A26">
        <v>171</v>
      </c>
      <c r="B26">
        <v>313</v>
      </c>
    </row>
    <row r="27" spans="1:13" x14ac:dyDescent="0.25">
      <c r="A27">
        <v>199</v>
      </c>
      <c r="B27">
        <v>276</v>
      </c>
    </row>
    <row r="28" spans="1:13" x14ac:dyDescent="0.25">
      <c r="A28">
        <v>426</v>
      </c>
      <c r="B28">
        <v>410</v>
      </c>
      <c r="D28">
        <v>442</v>
      </c>
      <c r="E28">
        <v>288</v>
      </c>
      <c r="F28">
        <v>386</v>
      </c>
      <c r="G28">
        <v>301</v>
      </c>
    </row>
    <row r="29" spans="1:13" x14ac:dyDescent="0.25">
      <c r="A29">
        <v>291</v>
      </c>
      <c r="B29">
        <v>391</v>
      </c>
      <c r="D29">
        <v>451</v>
      </c>
      <c r="E29">
        <v>474</v>
      </c>
      <c r="F29">
        <v>438</v>
      </c>
      <c r="G29">
        <v>199</v>
      </c>
    </row>
    <row r="30" spans="1:13" x14ac:dyDescent="0.25">
      <c r="A30">
        <v>417</v>
      </c>
      <c r="B30">
        <v>461</v>
      </c>
      <c r="D30">
        <v>313</v>
      </c>
      <c r="E30">
        <v>429</v>
      </c>
      <c r="F30">
        <v>162</v>
      </c>
      <c r="G30">
        <v>443</v>
      </c>
    </row>
    <row r="31" spans="1:13" x14ac:dyDescent="0.25">
      <c r="A31">
        <v>368</v>
      </c>
      <c r="B31">
        <v>432</v>
      </c>
      <c r="D31">
        <v>360</v>
      </c>
      <c r="E31">
        <v>490</v>
      </c>
      <c r="F31">
        <v>333</v>
      </c>
      <c r="G31">
        <v>325</v>
      </c>
      <c r="K31">
        <v>366</v>
      </c>
      <c r="L31">
        <v>260</v>
      </c>
    </row>
    <row r="32" spans="1:13" x14ac:dyDescent="0.25">
      <c r="A32">
        <v>329</v>
      </c>
      <c r="B32">
        <v>411</v>
      </c>
      <c r="D32">
        <v>217</v>
      </c>
      <c r="E32">
        <v>236</v>
      </c>
      <c r="F32">
        <v>314</v>
      </c>
      <c r="G32">
        <v>301</v>
      </c>
      <c r="K32">
        <v>296</v>
      </c>
      <c r="L32">
        <v>479</v>
      </c>
    </row>
    <row r="33" spans="1:12" x14ac:dyDescent="0.25">
      <c r="A33">
        <v>203</v>
      </c>
      <c r="B33">
        <v>411</v>
      </c>
      <c r="D33">
        <v>161</v>
      </c>
      <c r="E33">
        <v>470</v>
      </c>
      <c r="F33">
        <v>215</v>
      </c>
      <c r="G33">
        <v>378</v>
      </c>
      <c r="K33">
        <v>295</v>
      </c>
      <c r="L33">
        <v>218</v>
      </c>
    </row>
    <row r="34" spans="1:12" x14ac:dyDescent="0.25">
      <c r="A34">
        <v>201</v>
      </c>
      <c r="B34">
        <v>339</v>
      </c>
      <c r="D34">
        <v>426</v>
      </c>
      <c r="E34">
        <v>474</v>
      </c>
      <c r="F34">
        <v>332</v>
      </c>
      <c r="G34">
        <v>447</v>
      </c>
      <c r="K34">
        <v>399</v>
      </c>
      <c r="L34">
        <v>432</v>
      </c>
    </row>
    <row r="35" spans="1:12" x14ac:dyDescent="0.25">
      <c r="A35">
        <v>122</v>
      </c>
      <c r="B35">
        <v>426</v>
      </c>
      <c r="D35">
        <v>359</v>
      </c>
      <c r="E35">
        <v>477</v>
      </c>
      <c r="F35">
        <v>239</v>
      </c>
      <c r="G35">
        <v>108</v>
      </c>
      <c r="K35">
        <v>481</v>
      </c>
      <c r="L35">
        <v>355</v>
      </c>
    </row>
    <row r="36" spans="1:12" x14ac:dyDescent="0.25">
      <c r="A36">
        <v>317</v>
      </c>
      <c r="B36">
        <v>302</v>
      </c>
      <c r="K36">
        <v>371</v>
      </c>
      <c r="L36">
        <v>481</v>
      </c>
    </row>
    <row r="37" spans="1:12" x14ac:dyDescent="0.25">
      <c r="A37">
        <v>472</v>
      </c>
      <c r="B37">
        <v>383</v>
      </c>
      <c r="K37">
        <v>178</v>
      </c>
      <c r="L37">
        <v>425</v>
      </c>
    </row>
    <row r="38" spans="1:12" x14ac:dyDescent="0.25">
      <c r="A38">
        <v>366</v>
      </c>
      <c r="B38">
        <v>217</v>
      </c>
      <c r="K38">
        <v>137</v>
      </c>
      <c r="L38">
        <v>182</v>
      </c>
    </row>
    <row r="39" spans="1:12" x14ac:dyDescent="0.25">
      <c r="A39">
        <v>356</v>
      </c>
      <c r="B39">
        <v>402</v>
      </c>
      <c r="K39">
        <v>331</v>
      </c>
      <c r="L39">
        <v>499</v>
      </c>
    </row>
    <row r="40" spans="1:12" x14ac:dyDescent="0.25">
      <c r="A40">
        <v>382</v>
      </c>
      <c r="B40">
        <v>248</v>
      </c>
    </row>
    <row r="41" spans="1:12" x14ac:dyDescent="0.25">
      <c r="A41">
        <v>147</v>
      </c>
      <c r="B41">
        <v>373</v>
      </c>
    </row>
    <row r="42" spans="1:12" x14ac:dyDescent="0.25">
      <c r="A42">
        <v>142</v>
      </c>
      <c r="B42">
        <v>170</v>
      </c>
    </row>
    <row r="43" spans="1:12" x14ac:dyDescent="0.25">
      <c r="A43">
        <v>120</v>
      </c>
      <c r="B43">
        <v>266</v>
      </c>
    </row>
    <row r="44" spans="1:12" x14ac:dyDescent="0.25">
      <c r="A44">
        <v>164</v>
      </c>
      <c r="B44">
        <v>183</v>
      </c>
    </row>
    <row r="45" spans="1:12" x14ac:dyDescent="0.25">
      <c r="A45">
        <v>452</v>
      </c>
      <c r="B45">
        <v>204</v>
      </c>
    </row>
    <row r="46" spans="1:12" x14ac:dyDescent="0.25">
      <c r="A46">
        <v>118</v>
      </c>
      <c r="B46">
        <v>247</v>
      </c>
    </row>
    <row r="47" spans="1:12" x14ac:dyDescent="0.25">
      <c r="A47">
        <v>314</v>
      </c>
      <c r="B47">
        <v>473</v>
      </c>
    </row>
    <row r="48" spans="1:12" x14ac:dyDescent="0.25">
      <c r="A48">
        <v>322</v>
      </c>
      <c r="B48">
        <v>234</v>
      </c>
    </row>
    <row r="49" spans="1:2" x14ac:dyDescent="0.25">
      <c r="A49">
        <v>405</v>
      </c>
      <c r="B49">
        <v>167</v>
      </c>
    </row>
    <row r="50" spans="1:2" x14ac:dyDescent="0.25">
      <c r="A50">
        <v>217</v>
      </c>
      <c r="B50">
        <v>375</v>
      </c>
    </row>
    <row r="51" spans="1:2" x14ac:dyDescent="0.25">
      <c r="A51">
        <v>290</v>
      </c>
      <c r="B51">
        <v>438</v>
      </c>
    </row>
    <row r="52" spans="1:2" x14ac:dyDescent="0.25">
      <c r="A52">
        <v>392</v>
      </c>
      <c r="B52">
        <v>388</v>
      </c>
    </row>
    <row r="53" spans="1:2" x14ac:dyDescent="0.25">
      <c r="A53">
        <v>262</v>
      </c>
      <c r="B53">
        <v>321</v>
      </c>
    </row>
    <row r="54" spans="1:2" x14ac:dyDescent="0.25">
      <c r="A54">
        <v>392</v>
      </c>
      <c r="B54">
        <v>339</v>
      </c>
    </row>
    <row r="55" spans="1:2" x14ac:dyDescent="0.25">
      <c r="A55">
        <v>295</v>
      </c>
      <c r="B55">
        <v>146</v>
      </c>
    </row>
    <row r="56" spans="1:2" x14ac:dyDescent="0.25">
      <c r="A56">
        <v>226</v>
      </c>
      <c r="B56">
        <v>123</v>
      </c>
    </row>
    <row r="57" spans="1:2" x14ac:dyDescent="0.25">
      <c r="A57">
        <v>161</v>
      </c>
      <c r="B57">
        <v>239</v>
      </c>
    </row>
    <row r="58" spans="1:2" x14ac:dyDescent="0.25">
      <c r="A58">
        <v>392</v>
      </c>
      <c r="B58">
        <v>257</v>
      </c>
    </row>
    <row r="59" spans="1:2" x14ac:dyDescent="0.25">
      <c r="A59">
        <v>327</v>
      </c>
      <c r="B59">
        <v>477</v>
      </c>
    </row>
    <row r="60" spans="1:2" x14ac:dyDescent="0.25">
      <c r="A60">
        <v>484</v>
      </c>
      <c r="B60">
        <v>341</v>
      </c>
    </row>
    <row r="61" spans="1:2" x14ac:dyDescent="0.25">
      <c r="A61">
        <v>239</v>
      </c>
      <c r="B61">
        <v>492</v>
      </c>
    </row>
    <row r="62" spans="1:2" x14ac:dyDescent="0.25">
      <c r="A62">
        <v>450</v>
      </c>
      <c r="B62">
        <v>117</v>
      </c>
    </row>
    <row r="63" spans="1:2" x14ac:dyDescent="0.25">
      <c r="A63">
        <v>271</v>
      </c>
      <c r="B63">
        <v>496</v>
      </c>
    </row>
    <row r="64" spans="1:2" x14ac:dyDescent="0.25">
      <c r="A64">
        <v>119</v>
      </c>
      <c r="B64">
        <v>332</v>
      </c>
    </row>
    <row r="65" spans="1:2" x14ac:dyDescent="0.25">
      <c r="A65">
        <v>192</v>
      </c>
      <c r="B65">
        <v>497</v>
      </c>
    </row>
    <row r="66" spans="1:2" x14ac:dyDescent="0.25">
      <c r="A66">
        <v>373</v>
      </c>
      <c r="B66">
        <v>216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42553-AE9A-456F-9738-273162138EF1}">
  <sheetPr codeName="Planilha5"/>
  <dimension ref="A1:E21"/>
  <sheetViews>
    <sheetView zoomScale="115" zoomScaleNormal="115" workbookViewId="0">
      <selection activeCell="A4" sqref="A4"/>
    </sheetView>
  </sheetViews>
  <sheetFormatPr defaultRowHeight="15" x14ac:dyDescent="0.25"/>
  <cols>
    <col min="1" max="1" width="30.28515625" bestFit="1" customWidth="1"/>
    <col min="2" max="2" width="5.42578125" customWidth="1"/>
    <col min="3" max="4" width="2.7109375" customWidth="1"/>
    <col min="5" max="5" width="30.7109375" bestFit="1" customWidth="1"/>
  </cols>
  <sheetData>
    <row r="1" spans="1:5" x14ac:dyDescent="0.25">
      <c r="A1" t="s">
        <v>50</v>
      </c>
      <c r="E1" t="s">
        <v>51</v>
      </c>
    </row>
    <row r="2" spans="1:5" x14ac:dyDescent="0.25">
      <c r="A2" t="s">
        <v>53</v>
      </c>
      <c r="B2" t="s">
        <v>54</v>
      </c>
      <c r="E2" t="s">
        <v>52</v>
      </c>
    </row>
    <row r="3" spans="1:5" x14ac:dyDescent="0.25">
      <c r="A3" s="12">
        <v>1</v>
      </c>
      <c r="B3">
        <v>1</v>
      </c>
      <c r="E3" s="34">
        <v>11</v>
      </c>
    </row>
    <row r="4" spans="1:5" x14ac:dyDescent="0.25">
      <c r="A4" s="13">
        <v>2</v>
      </c>
      <c r="B4">
        <v>2</v>
      </c>
      <c r="E4" s="33">
        <v>10</v>
      </c>
    </row>
    <row r="5" spans="1:5" x14ac:dyDescent="0.25">
      <c r="A5" s="14">
        <v>3</v>
      </c>
      <c r="B5">
        <v>3</v>
      </c>
      <c r="E5" s="27">
        <v>1</v>
      </c>
    </row>
    <row r="6" spans="1:5" x14ac:dyDescent="0.25">
      <c r="A6" s="15">
        <v>4</v>
      </c>
      <c r="B6">
        <v>2</v>
      </c>
      <c r="E6" s="28">
        <v>2</v>
      </c>
    </row>
    <row r="7" spans="1:5" x14ac:dyDescent="0.25">
      <c r="A7" s="16">
        <v>5</v>
      </c>
      <c r="B7">
        <v>1</v>
      </c>
      <c r="E7" s="30">
        <v>4</v>
      </c>
    </row>
    <row r="8" spans="1:5" x14ac:dyDescent="0.25">
      <c r="A8" s="17">
        <v>6</v>
      </c>
      <c r="B8">
        <v>0</v>
      </c>
      <c r="E8" s="29">
        <v>3</v>
      </c>
    </row>
    <row r="9" spans="1:5" x14ac:dyDescent="0.25">
      <c r="A9" s="18">
        <v>7</v>
      </c>
      <c r="B9">
        <v>0</v>
      </c>
      <c r="E9" s="33">
        <v>10</v>
      </c>
    </row>
    <row r="10" spans="1:5" x14ac:dyDescent="0.25">
      <c r="A10" s="19">
        <v>8</v>
      </c>
      <c r="B10">
        <v>4</v>
      </c>
      <c r="E10" s="29">
        <v>3</v>
      </c>
    </row>
    <row r="11" spans="1:5" x14ac:dyDescent="0.25">
      <c r="A11" s="20">
        <v>9</v>
      </c>
      <c r="B11">
        <v>0</v>
      </c>
      <c r="E11" s="29">
        <v>3</v>
      </c>
    </row>
    <row r="12" spans="1:5" x14ac:dyDescent="0.25">
      <c r="A12" s="21">
        <v>10</v>
      </c>
      <c r="B12">
        <v>2</v>
      </c>
      <c r="E12" s="32">
        <v>8</v>
      </c>
    </row>
    <row r="13" spans="1:5" x14ac:dyDescent="0.25">
      <c r="A13" s="22">
        <v>11</v>
      </c>
      <c r="B13">
        <v>1</v>
      </c>
      <c r="E13" s="36">
        <v>15</v>
      </c>
    </row>
    <row r="14" spans="1:5" x14ac:dyDescent="0.25">
      <c r="A14" s="23">
        <v>12</v>
      </c>
      <c r="B14">
        <v>0</v>
      </c>
      <c r="E14" s="35">
        <v>14</v>
      </c>
    </row>
    <row r="15" spans="1:5" x14ac:dyDescent="0.25">
      <c r="A15" s="24">
        <v>13</v>
      </c>
      <c r="B15">
        <v>0</v>
      </c>
      <c r="E15" s="36">
        <v>15</v>
      </c>
    </row>
    <row r="16" spans="1:5" x14ac:dyDescent="0.25">
      <c r="A16" s="25">
        <v>14</v>
      </c>
      <c r="B16">
        <v>1</v>
      </c>
      <c r="E16" s="32">
        <v>8</v>
      </c>
    </row>
    <row r="17" spans="1:5" x14ac:dyDescent="0.25">
      <c r="A17" s="26">
        <v>15</v>
      </c>
      <c r="B17">
        <v>2</v>
      </c>
      <c r="E17" s="30">
        <v>4</v>
      </c>
    </row>
    <row r="18" spans="1:5" x14ac:dyDescent="0.25">
      <c r="E18" s="28">
        <v>2</v>
      </c>
    </row>
    <row r="19" spans="1:5" x14ac:dyDescent="0.25">
      <c r="E19" s="32">
        <v>8</v>
      </c>
    </row>
    <row r="20" spans="1:5" x14ac:dyDescent="0.25">
      <c r="E20" s="31">
        <v>5</v>
      </c>
    </row>
    <row r="21" spans="1:5" x14ac:dyDescent="0.25">
      <c r="E21" s="32">
        <v>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F68B-8A06-431D-8833-9C7DAE1C82AD}">
  <sheetPr codeName="Planilha10"/>
  <dimension ref="A1:H9"/>
  <sheetViews>
    <sheetView tabSelected="1" zoomScale="190" zoomScaleNormal="190" workbookViewId="0">
      <selection activeCell="H8" sqref="H8"/>
    </sheetView>
  </sheetViews>
  <sheetFormatPr defaultRowHeight="15" x14ac:dyDescent="0.25"/>
  <cols>
    <col min="5" max="5" width="13.28515625" customWidth="1"/>
    <col min="8" max="8" width="26.5703125" customWidth="1"/>
  </cols>
  <sheetData>
    <row r="1" spans="1:8" x14ac:dyDescent="0.25">
      <c r="A1" t="s">
        <v>55</v>
      </c>
      <c r="B1" t="s">
        <v>71</v>
      </c>
      <c r="C1" t="s">
        <v>72</v>
      </c>
      <c r="D1" t="s">
        <v>73</v>
      </c>
      <c r="E1" t="s">
        <v>57</v>
      </c>
      <c r="F1" t="s">
        <v>75</v>
      </c>
      <c r="G1" t="s">
        <v>74</v>
      </c>
    </row>
    <row r="2" spans="1:8" x14ac:dyDescent="0.25">
      <c r="F2" s="37"/>
    </row>
    <row r="3" spans="1:8" x14ac:dyDescent="0.25">
      <c r="F3" s="37"/>
    </row>
    <row r="8" spans="1:8" x14ac:dyDescent="0.25">
      <c r="H8" s="4">
        <v>31188</v>
      </c>
    </row>
    <row r="9" spans="1:8" x14ac:dyDescent="0.25">
      <c r="H9" t="str">
        <f>TEXT(H8,"dddd, mmmm - aaaa")</f>
        <v>terça-feira, maio - 1985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tividade17">
                <anchor moveWithCells="1" sizeWithCells="1">
                  <from>
                    <xdr:col>7</xdr:col>
                    <xdr:colOff>266700</xdr:colOff>
                    <xdr:row>1</xdr:row>
                    <xdr:rowOff>47625</xdr:rowOff>
                  </from>
                  <to>
                    <xdr:col>8</xdr:col>
                    <xdr:colOff>561975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BFBE-22A2-41C3-A440-30D9F9F01A56}">
  <sheetPr codeName="Planilha6"/>
  <dimension ref="A1:C229"/>
  <sheetViews>
    <sheetView zoomScale="160" zoomScaleNormal="160" workbookViewId="0">
      <selection activeCell="L8" sqref="L8"/>
    </sheetView>
  </sheetViews>
  <sheetFormatPr defaultRowHeight="15" x14ac:dyDescent="0.25"/>
  <cols>
    <col min="2" max="2" width="15.42578125" style="5" customWidth="1"/>
    <col min="3" max="3" width="15" style="4" customWidth="1"/>
    <col min="9" max="9" width="11.140625" bestFit="1" customWidth="1"/>
  </cols>
  <sheetData>
    <row r="1" spans="1:3" x14ac:dyDescent="0.25">
      <c r="A1" t="s">
        <v>55</v>
      </c>
      <c r="B1" s="5" t="s">
        <v>56</v>
      </c>
      <c r="C1" s="4" t="s">
        <v>57</v>
      </c>
    </row>
    <row r="2" spans="1:3" x14ac:dyDescent="0.25">
      <c r="A2">
        <v>1</v>
      </c>
      <c r="B2" s="5">
        <v>1096</v>
      </c>
      <c r="C2" s="4">
        <v>44821</v>
      </c>
    </row>
    <row r="3" spans="1:3" x14ac:dyDescent="0.25">
      <c r="A3">
        <v>2</v>
      </c>
      <c r="B3" s="5">
        <v>1235</v>
      </c>
    </row>
    <row r="4" spans="1:3" x14ac:dyDescent="0.25">
      <c r="A4">
        <v>3</v>
      </c>
      <c r="B4" s="5">
        <v>1809</v>
      </c>
      <c r="C4" s="4">
        <v>44673</v>
      </c>
    </row>
    <row r="5" spans="1:3" x14ac:dyDescent="0.25">
      <c r="A5">
        <v>4</v>
      </c>
      <c r="C5" s="4">
        <v>44652</v>
      </c>
    </row>
    <row r="6" spans="1:3" x14ac:dyDescent="0.25">
      <c r="A6">
        <v>5</v>
      </c>
      <c r="C6" s="4">
        <v>44707</v>
      </c>
    </row>
    <row r="7" spans="1:3" x14ac:dyDescent="0.25">
      <c r="A7">
        <v>6</v>
      </c>
      <c r="B7" s="5">
        <v>1992</v>
      </c>
      <c r="C7" s="4">
        <v>44815</v>
      </c>
    </row>
    <row r="8" spans="1:3" x14ac:dyDescent="0.25">
      <c r="A8">
        <v>7</v>
      </c>
      <c r="B8" s="5">
        <v>2528</v>
      </c>
      <c r="C8" s="4">
        <v>44667</v>
      </c>
    </row>
    <row r="9" spans="1:3" x14ac:dyDescent="0.25">
      <c r="A9">
        <v>8</v>
      </c>
      <c r="B9" s="5">
        <v>4752</v>
      </c>
      <c r="C9" s="4">
        <v>44785</v>
      </c>
    </row>
    <row r="10" spans="1:3" x14ac:dyDescent="0.25">
      <c r="A10">
        <v>9</v>
      </c>
      <c r="B10" s="5">
        <v>1010</v>
      </c>
      <c r="C10" s="4">
        <v>44836</v>
      </c>
    </row>
    <row r="11" spans="1:3" x14ac:dyDescent="0.25">
      <c r="A11">
        <v>10</v>
      </c>
      <c r="C11" s="4">
        <v>44663</v>
      </c>
    </row>
    <row r="12" spans="1:3" x14ac:dyDescent="0.25">
      <c r="A12">
        <v>11</v>
      </c>
      <c r="B12" s="5">
        <v>1222</v>
      </c>
      <c r="C12" s="4">
        <v>44746</v>
      </c>
    </row>
    <row r="13" spans="1:3" x14ac:dyDescent="0.25">
      <c r="A13">
        <v>12</v>
      </c>
      <c r="B13" s="5">
        <v>4178</v>
      </c>
    </row>
    <row r="14" spans="1:3" x14ac:dyDescent="0.25">
      <c r="A14">
        <v>13</v>
      </c>
      <c r="C14" s="4">
        <v>44507</v>
      </c>
    </row>
    <row r="15" spans="1:3" x14ac:dyDescent="0.25">
      <c r="A15">
        <v>14</v>
      </c>
      <c r="B15" s="5">
        <v>3938</v>
      </c>
      <c r="C15" s="4">
        <v>44626</v>
      </c>
    </row>
    <row r="16" spans="1:3" x14ac:dyDescent="0.25">
      <c r="A16">
        <v>15</v>
      </c>
      <c r="C16" s="4">
        <v>44721</v>
      </c>
    </row>
    <row r="17" spans="1:3" x14ac:dyDescent="0.25">
      <c r="A17">
        <v>16</v>
      </c>
      <c r="B17" s="5">
        <v>1083</v>
      </c>
    </row>
    <row r="18" spans="1:3" x14ac:dyDescent="0.25">
      <c r="A18">
        <v>17</v>
      </c>
      <c r="B18" s="5">
        <v>2804</v>
      </c>
      <c r="C18" s="4">
        <v>44639</v>
      </c>
    </row>
    <row r="19" spans="1:3" x14ac:dyDescent="0.25">
      <c r="A19">
        <v>18</v>
      </c>
      <c r="C19" s="4">
        <v>44762</v>
      </c>
    </row>
    <row r="20" spans="1:3" x14ac:dyDescent="0.25">
      <c r="A20">
        <v>19</v>
      </c>
      <c r="B20" s="5">
        <v>1545</v>
      </c>
      <c r="C20" s="4">
        <v>44520</v>
      </c>
    </row>
    <row r="21" spans="1:3" x14ac:dyDescent="0.25">
      <c r="A21">
        <v>20</v>
      </c>
      <c r="C21" s="4">
        <v>44741</v>
      </c>
    </row>
    <row r="22" spans="1:3" x14ac:dyDescent="0.25">
      <c r="A22">
        <v>21</v>
      </c>
      <c r="C22" s="4">
        <v>44676</v>
      </c>
    </row>
    <row r="23" spans="1:3" x14ac:dyDescent="0.25">
      <c r="A23">
        <v>22</v>
      </c>
      <c r="B23" s="5">
        <v>3415</v>
      </c>
      <c r="C23" s="4">
        <v>44788</v>
      </c>
    </row>
    <row r="24" spans="1:3" x14ac:dyDescent="0.25">
      <c r="A24">
        <v>23</v>
      </c>
    </row>
    <row r="25" spans="1:3" x14ac:dyDescent="0.25">
      <c r="A25">
        <v>24</v>
      </c>
      <c r="C25" s="4">
        <v>44831</v>
      </c>
    </row>
    <row r="26" spans="1:3" x14ac:dyDescent="0.25">
      <c r="A26">
        <v>25</v>
      </c>
      <c r="B26" s="5">
        <v>3052</v>
      </c>
      <c r="C26" s="4">
        <v>44855</v>
      </c>
    </row>
    <row r="27" spans="1:3" x14ac:dyDescent="0.25">
      <c r="A27">
        <v>26</v>
      </c>
    </row>
    <row r="28" spans="1:3" x14ac:dyDescent="0.25">
      <c r="A28">
        <v>27</v>
      </c>
      <c r="B28" s="5">
        <v>1071</v>
      </c>
      <c r="C28" s="4">
        <v>44645</v>
      </c>
    </row>
    <row r="29" spans="1:3" x14ac:dyDescent="0.25">
      <c r="A29">
        <v>28</v>
      </c>
      <c r="B29" s="5">
        <v>4455</v>
      </c>
      <c r="C29" s="4">
        <v>44866</v>
      </c>
    </row>
    <row r="30" spans="1:3" x14ac:dyDescent="0.25">
      <c r="A30">
        <v>29</v>
      </c>
      <c r="C30" s="4">
        <v>44765</v>
      </c>
    </row>
    <row r="31" spans="1:3" x14ac:dyDescent="0.25">
      <c r="A31">
        <v>30</v>
      </c>
      <c r="B31" s="5">
        <v>4145</v>
      </c>
    </row>
    <row r="32" spans="1:3" x14ac:dyDescent="0.25">
      <c r="A32">
        <v>31</v>
      </c>
      <c r="B32" s="5">
        <v>4650</v>
      </c>
      <c r="C32" s="4">
        <v>44505</v>
      </c>
    </row>
    <row r="33" spans="1:3" x14ac:dyDescent="0.25">
      <c r="A33">
        <v>32</v>
      </c>
      <c r="B33" s="5">
        <v>1935</v>
      </c>
      <c r="C33" s="4">
        <v>44837</v>
      </c>
    </row>
    <row r="34" spans="1:3" x14ac:dyDescent="0.25">
      <c r="A34">
        <v>33</v>
      </c>
      <c r="C34" s="4">
        <v>44833</v>
      </c>
    </row>
    <row r="35" spans="1:3" x14ac:dyDescent="0.25">
      <c r="A35">
        <v>34</v>
      </c>
      <c r="B35" s="5">
        <v>3201</v>
      </c>
      <c r="C35" s="4">
        <v>44584</v>
      </c>
    </row>
    <row r="36" spans="1:3" x14ac:dyDescent="0.25">
      <c r="A36">
        <v>35</v>
      </c>
    </row>
    <row r="37" spans="1:3" x14ac:dyDescent="0.25">
      <c r="A37">
        <v>36</v>
      </c>
      <c r="B37" s="5">
        <v>3102</v>
      </c>
      <c r="C37" s="4">
        <v>44550</v>
      </c>
    </row>
    <row r="38" spans="1:3" x14ac:dyDescent="0.25">
      <c r="A38">
        <v>37</v>
      </c>
      <c r="B38" s="5">
        <v>4848</v>
      </c>
      <c r="C38" s="4">
        <v>44580</v>
      </c>
    </row>
    <row r="39" spans="1:3" x14ac:dyDescent="0.25">
      <c r="A39">
        <v>38</v>
      </c>
      <c r="B39" s="5">
        <v>1228</v>
      </c>
      <c r="C39" s="4">
        <v>44715</v>
      </c>
    </row>
    <row r="40" spans="1:3" x14ac:dyDescent="0.25">
      <c r="A40">
        <v>39</v>
      </c>
      <c r="C40" s="4">
        <v>44693</v>
      </c>
    </row>
    <row r="41" spans="1:3" x14ac:dyDescent="0.25">
      <c r="A41">
        <v>40</v>
      </c>
      <c r="B41" s="5">
        <v>1101</v>
      </c>
      <c r="C41" s="4">
        <v>44857</v>
      </c>
    </row>
    <row r="42" spans="1:3" x14ac:dyDescent="0.25">
      <c r="A42">
        <v>41</v>
      </c>
      <c r="C42" s="4">
        <v>44827</v>
      </c>
    </row>
    <row r="43" spans="1:3" x14ac:dyDescent="0.25">
      <c r="A43">
        <v>42</v>
      </c>
      <c r="B43" s="5">
        <v>4126</v>
      </c>
      <c r="C43" s="4">
        <v>44641</v>
      </c>
    </row>
    <row r="44" spans="1:3" x14ac:dyDescent="0.25">
      <c r="A44">
        <v>43</v>
      </c>
      <c r="C44" s="4">
        <v>44681</v>
      </c>
    </row>
    <row r="45" spans="1:3" x14ac:dyDescent="0.25">
      <c r="A45">
        <v>44</v>
      </c>
      <c r="B45" s="5">
        <v>4633</v>
      </c>
      <c r="C45" s="4">
        <v>44833</v>
      </c>
    </row>
    <row r="46" spans="1:3" x14ac:dyDescent="0.25">
      <c r="A46">
        <v>45</v>
      </c>
      <c r="C46" s="4">
        <v>44587</v>
      </c>
    </row>
    <row r="47" spans="1:3" x14ac:dyDescent="0.25">
      <c r="A47">
        <v>46</v>
      </c>
      <c r="C47" s="4">
        <v>44864</v>
      </c>
    </row>
    <row r="48" spans="1:3" x14ac:dyDescent="0.25">
      <c r="A48">
        <v>47</v>
      </c>
      <c r="B48" s="5">
        <v>3767</v>
      </c>
      <c r="C48" s="4">
        <v>44625</v>
      </c>
    </row>
    <row r="49" spans="1:3" x14ac:dyDescent="0.25">
      <c r="A49">
        <v>48</v>
      </c>
      <c r="B49" s="5">
        <v>2926</v>
      </c>
      <c r="C49" s="4">
        <v>44803</v>
      </c>
    </row>
    <row r="50" spans="1:3" x14ac:dyDescent="0.25">
      <c r="A50">
        <v>49</v>
      </c>
      <c r="B50" s="5">
        <v>2822</v>
      </c>
      <c r="C50" s="4">
        <v>44517</v>
      </c>
    </row>
    <row r="51" spans="1:3" x14ac:dyDescent="0.25">
      <c r="A51">
        <v>50</v>
      </c>
      <c r="C51" s="4">
        <v>44589</v>
      </c>
    </row>
    <row r="52" spans="1:3" x14ac:dyDescent="0.25">
      <c r="A52">
        <v>51</v>
      </c>
      <c r="C52" s="4">
        <v>44878</v>
      </c>
    </row>
    <row r="53" spans="1:3" x14ac:dyDescent="0.25">
      <c r="A53">
        <v>52</v>
      </c>
      <c r="B53" s="5">
        <v>2912</v>
      </c>
      <c r="C53" s="4">
        <v>44847</v>
      </c>
    </row>
    <row r="54" spans="1:3" x14ac:dyDescent="0.25">
      <c r="A54">
        <v>53</v>
      </c>
      <c r="C54" s="4">
        <v>44827</v>
      </c>
    </row>
    <row r="55" spans="1:3" x14ac:dyDescent="0.25">
      <c r="A55">
        <v>54</v>
      </c>
      <c r="C55" s="4">
        <v>44787</v>
      </c>
    </row>
    <row r="56" spans="1:3" x14ac:dyDescent="0.25">
      <c r="A56">
        <v>55</v>
      </c>
      <c r="B56" s="5">
        <v>4330</v>
      </c>
      <c r="C56" s="4">
        <v>44810</v>
      </c>
    </row>
    <row r="57" spans="1:3" x14ac:dyDescent="0.25">
      <c r="A57">
        <v>56</v>
      </c>
      <c r="B57" s="5">
        <v>2163</v>
      </c>
      <c r="C57" s="4">
        <v>44775</v>
      </c>
    </row>
    <row r="58" spans="1:3" x14ac:dyDescent="0.25">
      <c r="A58">
        <v>57</v>
      </c>
      <c r="C58" s="4">
        <v>44608</v>
      </c>
    </row>
    <row r="59" spans="1:3" x14ac:dyDescent="0.25">
      <c r="A59">
        <v>58</v>
      </c>
      <c r="C59" s="4">
        <v>44809</v>
      </c>
    </row>
    <row r="60" spans="1:3" x14ac:dyDescent="0.25">
      <c r="A60">
        <v>59</v>
      </c>
      <c r="B60" s="5">
        <v>4191</v>
      </c>
    </row>
    <row r="61" spans="1:3" x14ac:dyDescent="0.25">
      <c r="A61">
        <v>60</v>
      </c>
      <c r="C61" s="4">
        <v>44545</v>
      </c>
    </row>
    <row r="62" spans="1:3" x14ac:dyDescent="0.25">
      <c r="A62">
        <v>61</v>
      </c>
      <c r="B62" s="5">
        <v>1256</v>
      </c>
      <c r="C62" s="4">
        <v>44861</v>
      </c>
    </row>
    <row r="63" spans="1:3" x14ac:dyDescent="0.25">
      <c r="A63">
        <v>62</v>
      </c>
      <c r="B63" s="5">
        <v>1788</v>
      </c>
      <c r="C63" s="4">
        <v>44572</v>
      </c>
    </row>
    <row r="64" spans="1:3" x14ac:dyDescent="0.25">
      <c r="A64">
        <v>63</v>
      </c>
      <c r="B64" s="5">
        <v>3472</v>
      </c>
    </row>
    <row r="65" spans="1:3" x14ac:dyDescent="0.25">
      <c r="A65">
        <v>64</v>
      </c>
      <c r="B65" s="5">
        <v>1045</v>
      </c>
      <c r="C65" s="4">
        <v>44687</v>
      </c>
    </row>
    <row r="66" spans="1:3" x14ac:dyDescent="0.25">
      <c r="A66">
        <v>65</v>
      </c>
      <c r="B66" s="5">
        <v>3901</v>
      </c>
      <c r="C66" s="4">
        <v>44746</v>
      </c>
    </row>
    <row r="67" spans="1:3" x14ac:dyDescent="0.25">
      <c r="A67">
        <v>66</v>
      </c>
      <c r="C67" s="4">
        <v>44664</v>
      </c>
    </row>
    <row r="68" spans="1:3" x14ac:dyDescent="0.25">
      <c r="A68">
        <v>67</v>
      </c>
      <c r="C68" s="4">
        <v>44871</v>
      </c>
    </row>
    <row r="69" spans="1:3" x14ac:dyDescent="0.25">
      <c r="A69">
        <v>68</v>
      </c>
      <c r="C69" s="4">
        <v>44688</v>
      </c>
    </row>
    <row r="70" spans="1:3" x14ac:dyDescent="0.25">
      <c r="A70">
        <v>69</v>
      </c>
      <c r="B70" s="5">
        <v>3316</v>
      </c>
      <c r="C70" s="4">
        <v>44744</v>
      </c>
    </row>
    <row r="71" spans="1:3" x14ac:dyDescent="0.25">
      <c r="A71">
        <v>70</v>
      </c>
      <c r="B71" s="5">
        <v>2612</v>
      </c>
      <c r="C71" s="4">
        <v>44665</v>
      </c>
    </row>
    <row r="72" spans="1:3" x14ac:dyDescent="0.25">
      <c r="A72">
        <v>71</v>
      </c>
      <c r="B72" s="5">
        <v>4378</v>
      </c>
      <c r="C72" s="4">
        <v>44741</v>
      </c>
    </row>
    <row r="73" spans="1:3" x14ac:dyDescent="0.25">
      <c r="A73">
        <v>72</v>
      </c>
      <c r="B73" s="5">
        <v>4339</v>
      </c>
      <c r="C73" s="4">
        <v>44705</v>
      </c>
    </row>
    <row r="74" spans="1:3" x14ac:dyDescent="0.25">
      <c r="A74">
        <v>73</v>
      </c>
      <c r="B74" s="5">
        <v>4542</v>
      </c>
      <c r="C74" s="4">
        <v>44586</v>
      </c>
    </row>
    <row r="75" spans="1:3" x14ac:dyDescent="0.25">
      <c r="A75">
        <v>74</v>
      </c>
      <c r="B75" s="5">
        <v>4913</v>
      </c>
      <c r="C75" s="4">
        <v>44843</v>
      </c>
    </row>
    <row r="76" spans="1:3" x14ac:dyDescent="0.25">
      <c r="A76">
        <v>75</v>
      </c>
      <c r="B76" s="5">
        <v>1574</v>
      </c>
      <c r="C76" s="4">
        <v>44560</v>
      </c>
    </row>
    <row r="77" spans="1:3" x14ac:dyDescent="0.25">
      <c r="A77">
        <v>76</v>
      </c>
      <c r="C77" s="4">
        <v>44706</v>
      </c>
    </row>
    <row r="78" spans="1:3" x14ac:dyDescent="0.25">
      <c r="A78">
        <v>77</v>
      </c>
      <c r="B78" s="5">
        <v>4874</v>
      </c>
      <c r="C78" s="4">
        <v>44576</v>
      </c>
    </row>
    <row r="79" spans="1:3" x14ac:dyDescent="0.25">
      <c r="A79">
        <v>78</v>
      </c>
      <c r="B79" s="5">
        <v>4040</v>
      </c>
      <c r="C79" s="4">
        <v>44831</v>
      </c>
    </row>
    <row r="80" spans="1:3" x14ac:dyDescent="0.25">
      <c r="A80">
        <v>79</v>
      </c>
      <c r="B80" s="5">
        <v>4389</v>
      </c>
      <c r="C80" s="4">
        <v>44780</v>
      </c>
    </row>
    <row r="81" spans="1:3" x14ac:dyDescent="0.25">
      <c r="A81">
        <v>80</v>
      </c>
      <c r="B81" s="5">
        <v>1269</v>
      </c>
      <c r="C81" s="4">
        <v>44755</v>
      </c>
    </row>
    <row r="82" spans="1:3" x14ac:dyDescent="0.25">
      <c r="A82">
        <v>81</v>
      </c>
      <c r="B82" s="5">
        <v>2715</v>
      </c>
      <c r="C82" s="4">
        <v>44590</v>
      </c>
    </row>
    <row r="83" spans="1:3" x14ac:dyDescent="0.25">
      <c r="A83">
        <v>82</v>
      </c>
      <c r="B83" s="5">
        <v>3730</v>
      </c>
      <c r="C83" s="4">
        <v>44881</v>
      </c>
    </row>
    <row r="84" spans="1:3" x14ac:dyDescent="0.25">
      <c r="A84">
        <v>83</v>
      </c>
      <c r="C84" s="4">
        <v>44516</v>
      </c>
    </row>
    <row r="85" spans="1:3" x14ac:dyDescent="0.25">
      <c r="A85">
        <v>84</v>
      </c>
      <c r="C85" s="4">
        <v>44691</v>
      </c>
    </row>
    <row r="86" spans="1:3" x14ac:dyDescent="0.25">
      <c r="A86">
        <v>85</v>
      </c>
      <c r="B86" s="5">
        <v>4628</v>
      </c>
      <c r="C86" s="4">
        <v>44802</v>
      </c>
    </row>
    <row r="87" spans="1:3" x14ac:dyDescent="0.25">
      <c r="A87">
        <v>86</v>
      </c>
      <c r="B87" s="5">
        <v>4139</v>
      </c>
      <c r="C87" s="4">
        <v>44581</v>
      </c>
    </row>
    <row r="88" spans="1:3" x14ac:dyDescent="0.25">
      <c r="A88">
        <v>87</v>
      </c>
      <c r="B88" s="5">
        <v>1545</v>
      </c>
      <c r="C88" s="4">
        <v>44599</v>
      </c>
    </row>
    <row r="89" spans="1:3" x14ac:dyDescent="0.25">
      <c r="A89">
        <v>88</v>
      </c>
      <c r="B89" s="5">
        <v>1017</v>
      </c>
      <c r="C89" s="4">
        <v>44720</v>
      </c>
    </row>
    <row r="90" spans="1:3" x14ac:dyDescent="0.25">
      <c r="A90">
        <v>89</v>
      </c>
      <c r="B90" s="5">
        <v>1073</v>
      </c>
      <c r="C90" s="4">
        <v>44790</v>
      </c>
    </row>
    <row r="91" spans="1:3" x14ac:dyDescent="0.25">
      <c r="A91">
        <v>90</v>
      </c>
      <c r="C91" s="4">
        <v>44573</v>
      </c>
    </row>
    <row r="92" spans="1:3" x14ac:dyDescent="0.25">
      <c r="A92">
        <v>91</v>
      </c>
      <c r="C92" s="4">
        <v>44564</v>
      </c>
    </row>
    <row r="93" spans="1:3" x14ac:dyDescent="0.25">
      <c r="A93">
        <v>92</v>
      </c>
      <c r="C93" s="4">
        <v>44792</v>
      </c>
    </row>
    <row r="94" spans="1:3" x14ac:dyDescent="0.25">
      <c r="A94">
        <v>93</v>
      </c>
      <c r="B94" s="5">
        <v>1070</v>
      </c>
      <c r="C94" s="4">
        <v>44508</v>
      </c>
    </row>
    <row r="95" spans="1:3" x14ac:dyDescent="0.25">
      <c r="A95">
        <v>94</v>
      </c>
      <c r="B95" s="5">
        <v>2138</v>
      </c>
      <c r="C95" s="4">
        <v>44578</v>
      </c>
    </row>
    <row r="96" spans="1:3" x14ac:dyDescent="0.25">
      <c r="A96">
        <v>95</v>
      </c>
      <c r="C96" s="4">
        <v>44637</v>
      </c>
    </row>
    <row r="97" spans="1:3" x14ac:dyDescent="0.25">
      <c r="A97">
        <v>96</v>
      </c>
      <c r="B97" s="5">
        <v>2614</v>
      </c>
    </row>
    <row r="98" spans="1:3" x14ac:dyDescent="0.25">
      <c r="A98">
        <v>97</v>
      </c>
      <c r="C98" s="4">
        <v>44751</v>
      </c>
    </row>
    <row r="99" spans="1:3" x14ac:dyDescent="0.25">
      <c r="A99">
        <v>98</v>
      </c>
      <c r="B99" s="5">
        <v>4938</v>
      </c>
    </row>
    <row r="100" spans="1:3" x14ac:dyDescent="0.25">
      <c r="A100">
        <v>99</v>
      </c>
      <c r="C100" s="4">
        <v>44576</v>
      </c>
    </row>
    <row r="101" spans="1:3" x14ac:dyDescent="0.25">
      <c r="A101">
        <v>100</v>
      </c>
      <c r="B101" s="5">
        <v>2327</v>
      </c>
    </row>
    <row r="102" spans="1:3" x14ac:dyDescent="0.25">
      <c r="A102">
        <v>101</v>
      </c>
      <c r="C102" s="4">
        <v>44684</v>
      </c>
    </row>
    <row r="103" spans="1:3" x14ac:dyDescent="0.25">
      <c r="A103">
        <v>102</v>
      </c>
      <c r="C103" s="4">
        <v>44781</v>
      </c>
    </row>
    <row r="104" spans="1:3" x14ac:dyDescent="0.25">
      <c r="A104">
        <v>103</v>
      </c>
      <c r="B104" s="5">
        <v>1486</v>
      </c>
      <c r="C104" s="4">
        <v>44655</v>
      </c>
    </row>
    <row r="105" spans="1:3" x14ac:dyDescent="0.25">
      <c r="A105">
        <v>104</v>
      </c>
      <c r="B105" s="5">
        <v>4294</v>
      </c>
      <c r="C105" s="4">
        <v>44876</v>
      </c>
    </row>
    <row r="106" spans="1:3" x14ac:dyDescent="0.25">
      <c r="A106">
        <v>105</v>
      </c>
      <c r="B106" s="5">
        <v>3048</v>
      </c>
      <c r="C106" s="4">
        <v>44863</v>
      </c>
    </row>
    <row r="107" spans="1:3" x14ac:dyDescent="0.25">
      <c r="A107">
        <v>106</v>
      </c>
      <c r="C107" s="4">
        <v>44828</v>
      </c>
    </row>
    <row r="108" spans="1:3" x14ac:dyDescent="0.25">
      <c r="A108">
        <v>107</v>
      </c>
      <c r="B108" s="5">
        <v>4137</v>
      </c>
      <c r="C108" s="4">
        <v>44576</v>
      </c>
    </row>
    <row r="109" spans="1:3" x14ac:dyDescent="0.25">
      <c r="A109">
        <v>108</v>
      </c>
      <c r="C109" s="4">
        <v>44507</v>
      </c>
    </row>
    <row r="110" spans="1:3" x14ac:dyDescent="0.25">
      <c r="A110">
        <v>109</v>
      </c>
      <c r="C110" s="4">
        <v>44598</v>
      </c>
    </row>
    <row r="111" spans="1:3" x14ac:dyDescent="0.25">
      <c r="A111">
        <v>110</v>
      </c>
      <c r="B111" s="5">
        <v>1065</v>
      </c>
      <c r="C111" s="4">
        <v>44504</v>
      </c>
    </row>
    <row r="112" spans="1:3" x14ac:dyDescent="0.25">
      <c r="A112">
        <v>111</v>
      </c>
      <c r="C112" s="4">
        <v>44741</v>
      </c>
    </row>
    <row r="113" spans="1:3" x14ac:dyDescent="0.25">
      <c r="A113">
        <v>112</v>
      </c>
      <c r="C113" s="4">
        <v>44756</v>
      </c>
    </row>
    <row r="114" spans="1:3" x14ac:dyDescent="0.25">
      <c r="A114">
        <v>113</v>
      </c>
      <c r="B114" s="5">
        <v>4726</v>
      </c>
      <c r="C114" s="4">
        <v>44876</v>
      </c>
    </row>
    <row r="115" spans="1:3" x14ac:dyDescent="0.25">
      <c r="A115">
        <v>114</v>
      </c>
      <c r="C115" s="4">
        <v>44548</v>
      </c>
    </row>
    <row r="116" spans="1:3" x14ac:dyDescent="0.25">
      <c r="A116">
        <v>115</v>
      </c>
      <c r="C116" s="4">
        <v>44818</v>
      </c>
    </row>
    <row r="117" spans="1:3" x14ac:dyDescent="0.25">
      <c r="A117">
        <v>116</v>
      </c>
      <c r="B117" s="5">
        <v>4290</v>
      </c>
      <c r="C117" s="4">
        <v>44579</v>
      </c>
    </row>
    <row r="118" spans="1:3" x14ac:dyDescent="0.25">
      <c r="A118">
        <v>117</v>
      </c>
      <c r="C118" s="4">
        <v>44653</v>
      </c>
    </row>
    <row r="119" spans="1:3" x14ac:dyDescent="0.25">
      <c r="A119">
        <v>118</v>
      </c>
      <c r="C119" s="4">
        <v>44876</v>
      </c>
    </row>
    <row r="120" spans="1:3" x14ac:dyDescent="0.25">
      <c r="A120">
        <v>119</v>
      </c>
      <c r="B120" s="5">
        <v>4814</v>
      </c>
      <c r="C120" s="4">
        <v>44534</v>
      </c>
    </row>
    <row r="121" spans="1:3" x14ac:dyDescent="0.25">
      <c r="A121">
        <v>120</v>
      </c>
      <c r="C121" s="4">
        <v>44766</v>
      </c>
    </row>
    <row r="122" spans="1:3" x14ac:dyDescent="0.25">
      <c r="A122">
        <v>121</v>
      </c>
      <c r="C122" s="4">
        <v>44757</v>
      </c>
    </row>
    <row r="123" spans="1:3" x14ac:dyDescent="0.25">
      <c r="A123">
        <v>122</v>
      </c>
      <c r="B123" s="5">
        <v>4049</v>
      </c>
      <c r="C123" s="4">
        <v>44631</v>
      </c>
    </row>
    <row r="124" spans="1:3" x14ac:dyDescent="0.25">
      <c r="A124">
        <v>123</v>
      </c>
      <c r="C124" s="4">
        <v>44788</v>
      </c>
    </row>
    <row r="125" spans="1:3" x14ac:dyDescent="0.25">
      <c r="A125">
        <v>124</v>
      </c>
      <c r="C125" s="4">
        <v>44602</v>
      </c>
    </row>
    <row r="126" spans="1:3" x14ac:dyDescent="0.25">
      <c r="A126">
        <v>125</v>
      </c>
      <c r="B126" s="5">
        <v>1744</v>
      </c>
      <c r="C126" s="4">
        <v>44858</v>
      </c>
    </row>
    <row r="127" spans="1:3" x14ac:dyDescent="0.25">
      <c r="A127">
        <v>126</v>
      </c>
    </row>
    <row r="128" spans="1:3" x14ac:dyDescent="0.25">
      <c r="A128">
        <v>127</v>
      </c>
      <c r="B128" s="5">
        <v>2891</v>
      </c>
      <c r="C128" s="4">
        <v>44806</v>
      </c>
    </row>
    <row r="129" spans="1:3" x14ac:dyDescent="0.25">
      <c r="A129">
        <v>128</v>
      </c>
      <c r="C129" s="4">
        <v>44674</v>
      </c>
    </row>
    <row r="130" spans="1:3" x14ac:dyDescent="0.25">
      <c r="A130">
        <v>129</v>
      </c>
      <c r="B130" s="5">
        <v>4783</v>
      </c>
    </row>
    <row r="131" spans="1:3" x14ac:dyDescent="0.25">
      <c r="A131">
        <v>130</v>
      </c>
      <c r="B131" s="5">
        <v>4534</v>
      </c>
      <c r="C131" s="4">
        <v>44515</v>
      </c>
    </row>
    <row r="132" spans="1:3" x14ac:dyDescent="0.25">
      <c r="A132">
        <v>131</v>
      </c>
      <c r="B132" s="5">
        <v>3507</v>
      </c>
      <c r="C132" s="4">
        <v>44829</v>
      </c>
    </row>
    <row r="133" spans="1:3" x14ac:dyDescent="0.25">
      <c r="A133">
        <v>132</v>
      </c>
      <c r="C133" s="4">
        <v>44853</v>
      </c>
    </row>
    <row r="134" spans="1:3" x14ac:dyDescent="0.25">
      <c r="A134">
        <v>133</v>
      </c>
      <c r="B134" s="5">
        <v>3272</v>
      </c>
      <c r="C134" s="4">
        <v>44537</v>
      </c>
    </row>
    <row r="135" spans="1:3" x14ac:dyDescent="0.25">
      <c r="A135">
        <v>134</v>
      </c>
      <c r="B135" s="5">
        <v>3053</v>
      </c>
      <c r="C135" s="4">
        <v>44581</v>
      </c>
    </row>
    <row r="136" spans="1:3" x14ac:dyDescent="0.25">
      <c r="A136">
        <v>135</v>
      </c>
      <c r="B136" s="5">
        <v>3950</v>
      </c>
      <c r="C136" s="4">
        <v>44641</v>
      </c>
    </row>
    <row r="137" spans="1:3" x14ac:dyDescent="0.25">
      <c r="A137">
        <v>136</v>
      </c>
      <c r="B137" s="5">
        <v>1354</v>
      </c>
      <c r="C137" s="4">
        <v>44636</v>
      </c>
    </row>
    <row r="138" spans="1:3" x14ac:dyDescent="0.25">
      <c r="A138">
        <v>137</v>
      </c>
      <c r="B138" s="5">
        <v>3124</v>
      </c>
    </row>
    <row r="139" spans="1:3" x14ac:dyDescent="0.25">
      <c r="A139">
        <v>138</v>
      </c>
      <c r="B139" s="5">
        <v>1570</v>
      </c>
      <c r="C139" s="4">
        <v>44667</v>
      </c>
    </row>
    <row r="140" spans="1:3" x14ac:dyDescent="0.25">
      <c r="A140">
        <v>139</v>
      </c>
      <c r="C140" s="4">
        <v>44571</v>
      </c>
    </row>
    <row r="141" spans="1:3" x14ac:dyDescent="0.25">
      <c r="A141">
        <v>140</v>
      </c>
      <c r="C141" s="4">
        <v>44568</v>
      </c>
    </row>
    <row r="142" spans="1:3" x14ac:dyDescent="0.25">
      <c r="A142">
        <v>141</v>
      </c>
      <c r="C142" s="4">
        <v>44792</v>
      </c>
    </row>
    <row r="143" spans="1:3" x14ac:dyDescent="0.25">
      <c r="A143">
        <v>142</v>
      </c>
      <c r="C143" s="4">
        <v>44701</v>
      </c>
    </row>
    <row r="144" spans="1:3" x14ac:dyDescent="0.25">
      <c r="A144">
        <v>143</v>
      </c>
      <c r="B144" s="5">
        <v>2688</v>
      </c>
    </row>
    <row r="145" spans="1:3" x14ac:dyDescent="0.25">
      <c r="A145">
        <v>144</v>
      </c>
      <c r="B145" s="5">
        <v>1047</v>
      </c>
      <c r="C145" s="4">
        <v>44634</v>
      </c>
    </row>
    <row r="146" spans="1:3" x14ac:dyDescent="0.25">
      <c r="A146">
        <v>145</v>
      </c>
      <c r="B146" s="5">
        <v>2830</v>
      </c>
      <c r="C146" s="4">
        <v>44509</v>
      </c>
    </row>
    <row r="147" spans="1:3" x14ac:dyDescent="0.25">
      <c r="A147">
        <v>146</v>
      </c>
      <c r="B147" s="5">
        <v>3912</v>
      </c>
      <c r="C147" s="4">
        <v>44576</v>
      </c>
    </row>
    <row r="148" spans="1:3" x14ac:dyDescent="0.25">
      <c r="A148">
        <v>147</v>
      </c>
    </row>
    <row r="149" spans="1:3" x14ac:dyDescent="0.25">
      <c r="A149">
        <v>148</v>
      </c>
      <c r="C149" s="4">
        <v>44611</v>
      </c>
    </row>
    <row r="150" spans="1:3" x14ac:dyDescent="0.25">
      <c r="A150">
        <v>149</v>
      </c>
      <c r="C150" s="4">
        <v>44682</v>
      </c>
    </row>
    <row r="151" spans="1:3" x14ac:dyDescent="0.25">
      <c r="A151">
        <v>150</v>
      </c>
      <c r="B151" s="5">
        <v>1334</v>
      </c>
      <c r="C151" s="4">
        <v>44606</v>
      </c>
    </row>
    <row r="152" spans="1:3" x14ac:dyDescent="0.25">
      <c r="A152">
        <v>151</v>
      </c>
      <c r="B152" s="5">
        <v>4790</v>
      </c>
      <c r="C152" s="4">
        <v>44518</v>
      </c>
    </row>
    <row r="153" spans="1:3" x14ac:dyDescent="0.25">
      <c r="A153">
        <v>152</v>
      </c>
      <c r="B153" s="5">
        <v>4268</v>
      </c>
      <c r="C153" s="4">
        <v>44853</v>
      </c>
    </row>
    <row r="154" spans="1:3" x14ac:dyDescent="0.25">
      <c r="A154">
        <v>153</v>
      </c>
      <c r="C154" s="4">
        <v>44538</v>
      </c>
    </row>
    <row r="155" spans="1:3" x14ac:dyDescent="0.25">
      <c r="A155">
        <v>154</v>
      </c>
      <c r="C155" s="4">
        <v>44721</v>
      </c>
    </row>
    <row r="156" spans="1:3" x14ac:dyDescent="0.25">
      <c r="A156">
        <v>155</v>
      </c>
      <c r="B156" s="5">
        <v>3927</v>
      </c>
    </row>
    <row r="157" spans="1:3" x14ac:dyDescent="0.25">
      <c r="A157">
        <v>156</v>
      </c>
      <c r="B157" s="5">
        <v>2234</v>
      </c>
      <c r="C157" s="4">
        <v>44515</v>
      </c>
    </row>
    <row r="158" spans="1:3" x14ac:dyDescent="0.25">
      <c r="A158">
        <v>157</v>
      </c>
      <c r="C158" s="4">
        <v>44717</v>
      </c>
    </row>
    <row r="159" spans="1:3" x14ac:dyDescent="0.25">
      <c r="A159">
        <v>158</v>
      </c>
      <c r="C159" s="4">
        <v>44600</v>
      </c>
    </row>
    <row r="160" spans="1:3" x14ac:dyDescent="0.25">
      <c r="A160">
        <v>159</v>
      </c>
      <c r="C160" s="4">
        <v>44563</v>
      </c>
    </row>
    <row r="161" spans="1:3" x14ac:dyDescent="0.25">
      <c r="A161">
        <v>160</v>
      </c>
      <c r="C161" s="4">
        <v>44777</v>
      </c>
    </row>
    <row r="162" spans="1:3" x14ac:dyDescent="0.25">
      <c r="A162">
        <v>161</v>
      </c>
      <c r="C162" s="4">
        <v>44645</v>
      </c>
    </row>
    <row r="163" spans="1:3" x14ac:dyDescent="0.25">
      <c r="A163">
        <v>162</v>
      </c>
      <c r="B163" s="5">
        <v>2609</v>
      </c>
      <c r="C163" s="4">
        <v>44832</v>
      </c>
    </row>
    <row r="164" spans="1:3" x14ac:dyDescent="0.25">
      <c r="A164">
        <v>163</v>
      </c>
      <c r="B164" s="5">
        <v>1686</v>
      </c>
    </row>
    <row r="165" spans="1:3" x14ac:dyDescent="0.25">
      <c r="A165">
        <v>164</v>
      </c>
      <c r="B165" s="5">
        <v>4346</v>
      </c>
      <c r="C165" s="4">
        <v>44506</v>
      </c>
    </row>
    <row r="166" spans="1:3" x14ac:dyDescent="0.25">
      <c r="A166">
        <v>165</v>
      </c>
      <c r="B166" s="5">
        <v>2109</v>
      </c>
      <c r="C166" s="4">
        <v>44628</v>
      </c>
    </row>
    <row r="167" spans="1:3" x14ac:dyDescent="0.25">
      <c r="A167">
        <v>166</v>
      </c>
      <c r="B167" s="5">
        <v>1654</v>
      </c>
      <c r="C167" s="4">
        <v>44621</v>
      </c>
    </row>
    <row r="168" spans="1:3" x14ac:dyDescent="0.25">
      <c r="A168">
        <v>167</v>
      </c>
      <c r="C168" s="4">
        <v>44860</v>
      </c>
    </row>
    <row r="169" spans="1:3" x14ac:dyDescent="0.25">
      <c r="A169">
        <v>168</v>
      </c>
      <c r="B169" s="5">
        <v>3067</v>
      </c>
    </row>
    <row r="170" spans="1:3" x14ac:dyDescent="0.25">
      <c r="A170">
        <v>169</v>
      </c>
      <c r="B170" s="5">
        <v>1362</v>
      </c>
      <c r="C170" s="4">
        <v>44624</v>
      </c>
    </row>
    <row r="171" spans="1:3" x14ac:dyDescent="0.25">
      <c r="A171">
        <v>170</v>
      </c>
      <c r="C171" s="4">
        <v>44622</v>
      </c>
    </row>
    <row r="172" spans="1:3" x14ac:dyDescent="0.25">
      <c r="A172">
        <v>171</v>
      </c>
      <c r="B172" s="5">
        <v>1104</v>
      </c>
      <c r="C172" s="4">
        <v>44675</v>
      </c>
    </row>
    <row r="173" spans="1:3" x14ac:dyDescent="0.25">
      <c r="A173">
        <v>172</v>
      </c>
      <c r="B173" s="5">
        <v>1761</v>
      </c>
      <c r="C173" s="4">
        <v>44515</v>
      </c>
    </row>
    <row r="174" spans="1:3" x14ac:dyDescent="0.25">
      <c r="A174">
        <v>173</v>
      </c>
      <c r="B174" s="5">
        <v>4825</v>
      </c>
      <c r="C174" s="4">
        <v>44559</v>
      </c>
    </row>
    <row r="175" spans="1:3" x14ac:dyDescent="0.25">
      <c r="A175">
        <v>174</v>
      </c>
      <c r="C175" s="4">
        <v>44592</v>
      </c>
    </row>
    <row r="176" spans="1:3" x14ac:dyDescent="0.25">
      <c r="A176">
        <v>175</v>
      </c>
      <c r="B176" s="5">
        <v>3009</v>
      </c>
      <c r="C176" s="4">
        <v>44600</v>
      </c>
    </row>
    <row r="177" spans="1:3" x14ac:dyDescent="0.25">
      <c r="A177">
        <v>176</v>
      </c>
      <c r="C177" s="4">
        <v>44623</v>
      </c>
    </row>
    <row r="178" spans="1:3" x14ac:dyDescent="0.25">
      <c r="A178">
        <v>177</v>
      </c>
      <c r="B178" s="5">
        <v>1604</v>
      </c>
      <c r="C178" s="4">
        <v>44780</v>
      </c>
    </row>
    <row r="179" spans="1:3" x14ac:dyDescent="0.25">
      <c r="A179">
        <v>178</v>
      </c>
      <c r="C179" s="4">
        <v>44604</v>
      </c>
    </row>
    <row r="180" spans="1:3" x14ac:dyDescent="0.25">
      <c r="A180">
        <v>179</v>
      </c>
      <c r="C180" s="4">
        <v>44853</v>
      </c>
    </row>
    <row r="181" spans="1:3" x14ac:dyDescent="0.25">
      <c r="A181">
        <v>180</v>
      </c>
      <c r="B181" s="5">
        <v>3493</v>
      </c>
      <c r="C181" s="4">
        <v>44581</v>
      </c>
    </row>
    <row r="182" spans="1:3" x14ac:dyDescent="0.25">
      <c r="A182">
        <v>181</v>
      </c>
    </row>
    <row r="183" spans="1:3" x14ac:dyDescent="0.25">
      <c r="A183">
        <v>182</v>
      </c>
      <c r="C183" s="4">
        <v>44775</v>
      </c>
    </row>
    <row r="184" spans="1:3" x14ac:dyDescent="0.25">
      <c r="A184">
        <v>183</v>
      </c>
      <c r="B184" s="5">
        <v>3012</v>
      </c>
    </row>
    <row r="185" spans="1:3" x14ac:dyDescent="0.25">
      <c r="A185">
        <v>184</v>
      </c>
      <c r="C185" s="4">
        <v>44823</v>
      </c>
    </row>
    <row r="186" spans="1:3" x14ac:dyDescent="0.25">
      <c r="A186">
        <v>185</v>
      </c>
      <c r="C186" s="4">
        <v>44831</v>
      </c>
    </row>
    <row r="187" spans="1:3" x14ac:dyDescent="0.25">
      <c r="A187">
        <v>186</v>
      </c>
      <c r="B187" s="5">
        <v>4198</v>
      </c>
      <c r="C187" s="4">
        <v>44729</v>
      </c>
    </row>
    <row r="188" spans="1:3" x14ac:dyDescent="0.25">
      <c r="A188">
        <v>187</v>
      </c>
      <c r="C188" s="4">
        <v>44740</v>
      </c>
    </row>
    <row r="189" spans="1:3" x14ac:dyDescent="0.25">
      <c r="A189">
        <v>188</v>
      </c>
      <c r="C189" s="4">
        <v>44634</v>
      </c>
    </row>
    <row r="190" spans="1:3" x14ac:dyDescent="0.25">
      <c r="A190">
        <v>189</v>
      </c>
      <c r="B190" s="5">
        <v>4838</v>
      </c>
      <c r="C190" s="4">
        <v>44682</v>
      </c>
    </row>
    <row r="191" spans="1:3" x14ac:dyDescent="0.25">
      <c r="A191">
        <v>190</v>
      </c>
      <c r="B191" s="5">
        <v>1651</v>
      </c>
    </row>
    <row r="192" spans="1:3" x14ac:dyDescent="0.25">
      <c r="A192">
        <v>191</v>
      </c>
      <c r="C192" s="4">
        <v>44800</v>
      </c>
    </row>
    <row r="193" spans="1:3" x14ac:dyDescent="0.25">
      <c r="A193">
        <v>192</v>
      </c>
      <c r="B193" s="5">
        <v>1129</v>
      </c>
      <c r="C193" s="4">
        <v>44591</v>
      </c>
    </row>
    <row r="194" spans="1:3" x14ac:dyDescent="0.25">
      <c r="A194">
        <v>193</v>
      </c>
      <c r="B194" s="5">
        <v>4847</v>
      </c>
      <c r="C194" s="4">
        <v>44714</v>
      </c>
    </row>
    <row r="195" spans="1:3" x14ac:dyDescent="0.25">
      <c r="A195">
        <v>194</v>
      </c>
      <c r="B195" s="5">
        <v>4563</v>
      </c>
      <c r="C195" s="4">
        <v>44846</v>
      </c>
    </row>
    <row r="196" spans="1:3" x14ac:dyDescent="0.25">
      <c r="A196">
        <v>195</v>
      </c>
      <c r="B196" s="5">
        <v>1307</v>
      </c>
      <c r="C196" s="4">
        <v>44730</v>
      </c>
    </row>
    <row r="197" spans="1:3" x14ac:dyDescent="0.25">
      <c r="A197">
        <v>196</v>
      </c>
      <c r="B197" s="5">
        <v>3938</v>
      </c>
      <c r="C197" s="4">
        <v>44686</v>
      </c>
    </row>
    <row r="198" spans="1:3" x14ac:dyDescent="0.25">
      <c r="A198">
        <v>197</v>
      </c>
      <c r="C198" s="4">
        <v>44522</v>
      </c>
    </row>
    <row r="199" spans="1:3" x14ac:dyDescent="0.25">
      <c r="A199">
        <v>198</v>
      </c>
      <c r="B199" s="5">
        <v>3923</v>
      </c>
      <c r="C199" s="4">
        <v>44856</v>
      </c>
    </row>
    <row r="200" spans="1:3" x14ac:dyDescent="0.25">
      <c r="A200">
        <v>199</v>
      </c>
      <c r="C200" s="4">
        <v>44657</v>
      </c>
    </row>
    <row r="201" spans="1:3" x14ac:dyDescent="0.25">
      <c r="A201">
        <v>200</v>
      </c>
      <c r="B201" s="5">
        <v>3173</v>
      </c>
      <c r="C201" s="4">
        <v>44831</v>
      </c>
    </row>
    <row r="202" spans="1:3" x14ac:dyDescent="0.25">
      <c r="A202">
        <v>201</v>
      </c>
      <c r="B202" s="5">
        <v>1451</v>
      </c>
      <c r="C202" s="4">
        <v>44805</v>
      </c>
    </row>
    <row r="203" spans="1:3" x14ac:dyDescent="0.25">
      <c r="A203">
        <v>202</v>
      </c>
      <c r="B203" s="5">
        <v>1713</v>
      </c>
      <c r="C203" s="4">
        <v>44879</v>
      </c>
    </row>
    <row r="204" spans="1:3" x14ac:dyDescent="0.25">
      <c r="A204">
        <v>203</v>
      </c>
      <c r="C204" s="4">
        <v>44583</v>
      </c>
    </row>
    <row r="205" spans="1:3" x14ac:dyDescent="0.25">
      <c r="A205">
        <v>204</v>
      </c>
      <c r="B205" s="5">
        <v>1487</v>
      </c>
      <c r="C205" s="4">
        <v>44826</v>
      </c>
    </row>
    <row r="206" spans="1:3" x14ac:dyDescent="0.25">
      <c r="A206">
        <v>205</v>
      </c>
      <c r="C206" s="4">
        <v>44864</v>
      </c>
    </row>
    <row r="207" spans="1:3" x14ac:dyDescent="0.25">
      <c r="A207">
        <v>206</v>
      </c>
      <c r="B207" s="5">
        <v>2611</v>
      </c>
      <c r="C207" s="4">
        <v>44509</v>
      </c>
    </row>
    <row r="208" spans="1:3" x14ac:dyDescent="0.25">
      <c r="A208">
        <v>207</v>
      </c>
      <c r="B208" s="5">
        <v>4907</v>
      </c>
      <c r="C208" s="4">
        <v>44826</v>
      </c>
    </row>
    <row r="209" spans="1:3" x14ac:dyDescent="0.25">
      <c r="A209">
        <v>208</v>
      </c>
      <c r="B209" s="5">
        <v>3568</v>
      </c>
      <c r="C209" s="4">
        <v>44642</v>
      </c>
    </row>
    <row r="210" spans="1:3" x14ac:dyDescent="0.25">
      <c r="A210">
        <v>209</v>
      </c>
      <c r="B210" s="5">
        <v>1698</v>
      </c>
      <c r="C210" s="4">
        <v>44845</v>
      </c>
    </row>
    <row r="211" spans="1:3" x14ac:dyDescent="0.25">
      <c r="A211">
        <v>210</v>
      </c>
      <c r="C211" s="4">
        <v>44618</v>
      </c>
    </row>
    <row r="212" spans="1:3" x14ac:dyDescent="0.25">
      <c r="A212">
        <v>211</v>
      </c>
      <c r="B212" s="5">
        <v>2966</v>
      </c>
      <c r="C212" s="4">
        <v>44756</v>
      </c>
    </row>
    <row r="213" spans="1:3" x14ac:dyDescent="0.25">
      <c r="A213">
        <v>212</v>
      </c>
      <c r="B213" s="5">
        <v>2537</v>
      </c>
      <c r="C213" s="4">
        <v>44690</v>
      </c>
    </row>
    <row r="214" spans="1:3" x14ac:dyDescent="0.25">
      <c r="A214">
        <v>213</v>
      </c>
      <c r="C214" s="4">
        <v>44630</v>
      </c>
    </row>
    <row r="215" spans="1:3" x14ac:dyDescent="0.25">
      <c r="A215">
        <v>214</v>
      </c>
      <c r="C215" s="4">
        <v>44504</v>
      </c>
    </row>
    <row r="216" spans="1:3" x14ac:dyDescent="0.25">
      <c r="A216">
        <v>215</v>
      </c>
      <c r="B216" s="5">
        <v>3474</v>
      </c>
      <c r="C216" s="4">
        <v>44663</v>
      </c>
    </row>
    <row r="217" spans="1:3" x14ac:dyDescent="0.25">
      <c r="A217">
        <v>216</v>
      </c>
      <c r="B217" s="5">
        <v>3258</v>
      </c>
      <c r="C217" s="4">
        <v>44603</v>
      </c>
    </row>
    <row r="218" spans="1:3" x14ac:dyDescent="0.25">
      <c r="A218">
        <v>217</v>
      </c>
      <c r="B218" s="5">
        <v>2270</v>
      </c>
    </row>
    <row r="219" spans="1:3" x14ac:dyDescent="0.25">
      <c r="A219">
        <v>218</v>
      </c>
      <c r="B219" s="5">
        <v>4706</v>
      </c>
      <c r="C219" s="4">
        <v>44574</v>
      </c>
    </row>
    <row r="220" spans="1:3" x14ac:dyDescent="0.25">
      <c r="A220">
        <v>219</v>
      </c>
      <c r="C220" s="4">
        <v>44563</v>
      </c>
    </row>
    <row r="221" spans="1:3" x14ac:dyDescent="0.25">
      <c r="A221">
        <v>220</v>
      </c>
      <c r="C221" s="4">
        <v>44756</v>
      </c>
    </row>
    <row r="222" spans="1:3" x14ac:dyDescent="0.25">
      <c r="A222">
        <v>221</v>
      </c>
      <c r="B222" s="5">
        <v>2541</v>
      </c>
    </row>
    <row r="223" spans="1:3" x14ac:dyDescent="0.25">
      <c r="A223">
        <v>222</v>
      </c>
      <c r="B223" s="5">
        <v>2829</v>
      </c>
      <c r="C223" s="4">
        <v>44655</v>
      </c>
    </row>
    <row r="224" spans="1:3" x14ac:dyDescent="0.25">
      <c r="A224">
        <v>223</v>
      </c>
      <c r="B224" s="5">
        <v>1877</v>
      </c>
      <c r="C224" s="4">
        <v>44804</v>
      </c>
    </row>
    <row r="225" spans="1:3" x14ac:dyDescent="0.25">
      <c r="A225">
        <v>224</v>
      </c>
      <c r="C225" s="4">
        <v>44625</v>
      </c>
    </row>
    <row r="226" spans="1:3" x14ac:dyDescent="0.25">
      <c r="A226">
        <v>225</v>
      </c>
      <c r="B226" s="5">
        <v>3403</v>
      </c>
      <c r="C226" s="4">
        <v>44782</v>
      </c>
    </row>
    <row r="227" spans="1:3" x14ac:dyDescent="0.25">
      <c r="A227">
        <v>226</v>
      </c>
      <c r="C227" s="4">
        <v>44842</v>
      </c>
    </row>
    <row r="228" spans="1:3" x14ac:dyDescent="0.25">
      <c r="A228">
        <v>227</v>
      </c>
      <c r="B228" s="5">
        <v>2590</v>
      </c>
    </row>
    <row r="229" spans="1:3" x14ac:dyDescent="0.25">
      <c r="A229">
        <v>228</v>
      </c>
      <c r="C229" s="4">
        <v>44637</v>
      </c>
    </row>
  </sheetData>
  <autoFilter ref="A1:C229" xr:uid="{3322BFBE-22A2-41C3-A440-30D9F9F01A56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Atividade01</vt:lpstr>
      <vt:lpstr>Atividade02</vt:lpstr>
      <vt:lpstr>Atividade05</vt:lpstr>
      <vt:lpstr>Atividade11</vt:lpstr>
      <vt:lpstr>While</vt:lpstr>
      <vt:lpstr>FOR</vt:lpstr>
      <vt:lpstr>For Each</vt:lpstr>
      <vt:lpstr>Atividade-15</vt:lpstr>
      <vt:lpstr>Atividade-17</vt:lpstr>
      <vt:lpstr>Atividade-18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2022-11-16T17:53:15Z</dcterms:created>
  <dcterms:modified xsi:type="dcterms:W3CDTF">2023-09-30T01:08:19Z</dcterms:modified>
</cp:coreProperties>
</file>